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02546b369a4247" /></Relationships>
</file>

<file path=xl/workbook.xml><?xml version="1.0" encoding="utf-8"?>
<x:workbook xmlns:x="http://schemas.openxmlformats.org/spreadsheetml/2006/main">
  <x:sheets>
    <x:sheet xmlns:r="http://schemas.openxmlformats.org/officeDocument/2006/relationships" name="Actual Eurostat Data" sheetId="1" r:id="Rc1ea8d7ab0f44e58"/>
    <x:sheet xmlns:r="http://schemas.openxmlformats.org/officeDocument/2006/relationships" name="Source Notes" sheetId="2" r:id="R3946c4cc6af8494f"/>
    <x:sheet xmlns:r="http://schemas.openxmlformats.org/officeDocument/2006/relationships" name="Slovakia Annual" sheetId="3" r:id="R1c7eeafa056a4ce6"/>
    <x:sheet xmlns:r="http://schemas.openxmlformats.org/officeDocument/2006/relationships" name="Netherlands Annual" sheetId="4" r:id="Re65a1f4f7cc44b7a"/>
    <x:sheet xmlns:r="http://schemas.openxmlformats.org/officeDocument/2006/relationships" name="Canada Trace" sheetId="5" r:id="Rf3033c18b16242e6"/>
    <x:sheet xmlns:r="http://schemas.openxmlformats.org/officeDocument/2006/relationships" name="Japan Evidence" sheetId="6" r:id="R416e378c1f81495a"/>
    <x:sheet xmlns:r="http://schemas.openxmlformats.org/officeDocument/2006/relationships" name="Trace Summary" sheetId="7" r:id="R10c61d8e106f484f"/>
    <x:sheet xmlns:r="http://schemas.openxmlformats.org/officeDocument/2006/relationships" name="Methodology" sheetId="8" r:id="Rf927176b93ec4284"/>
    <x:sheet xmlns:r="http://schemas.openxmlformats.org/officeDocument/2006/relationships" name="US Direct Supplier Summary" sheetId="9" r:id="R28d07685326640b4"/>
    <x:sheet xmlns:r="http://schemas.openxmlformats.org/officeDocument/2006/relationships" name="Preliminary TSDA Result" sheetId="10" r:id="Rda3fed7e944b45d6"/>
    <x:sheet xmlns:r="http://schemas.openxmlformats.org/officeDocument/2006/relationships" name="Taiwan Trace" sheetId="11" r:id="R94b36afd185648fb"/>
    <x:sheet xmlns:r="http://schemas.openxmlformats.org/officeDocument/2006/relationships" name="Production HHI" sheetId="12" r:id="R2a38d5989f0d4e93"/>
    <x:sheet xmlns:r="http://schemas.openxmlformats.org/officeDocument/2006/relationships" name="Methodology Amendment v1.1" sheetId="13" r:id="R42161bb472154b34"/>
    <x:sheet xmlns:r="http://schemas.openxmlformats.org/officeDocument/2006/relationships" name="True-Source Bounds" sheetId="14" r:id="Re2aa3d2460434f1b"/>
    <x:sheet xmlns:r="http://schemas.openxmlformats.org/officeDocument/2006/relationships" name="Russia Trace" sheetId="15" r:id="Rd4f3311183d04cff"/>
    <x:sheet xmlns:r="http://schemas.openxmlformats.org/officeDocument/2006/relationships" name="Section 8 Validation" sheetId="16" r:id="R22428176371c4d88"/>
  </x:sheets>
</x:workbook>
</file>

<file path=xl/sharedStrings.xml><?xml version="1.0" encoding="utf-8"?>
<x:sst xmlns:x="http://schemas.openxmlformats.org/spreadsheetml/2006/main">
  <x:si>
    <x:t xml:space="preserve">Reporter</x:t>
  </x:si>
  <x:si>
    <x:t xml:space="preserve">Flow</x:t>
  </x:si>
  <x:si>
    <x:t xml:space="preserve">CN8</x:t>
  </x:si>
  <x:si>
    <x:t xml:space="preserve">Product</x:t>
  </x:si>
  <x:si>
    <x:t xml:space="preserve">Partner code</x:t>
  </x:si>
  <x:si>
    <x:t xml:space="preserve">Partner</x:t>
  </x:si>
  <x:si>
    <x:t xml:space="preserve">Year</x:t>
  </x:si>
  <x:si>
    <x:t xml:space="preserve">Quantity (kg)</x:t>
  </x:si>
  <x:si>
    <x:t xml:space="preserve">Value (EUR)</x:t>
  </x:si>
  <x:si>
    <x:t xml:space="preserve">Germany</x:t>
  </x:si>
  <x:si>
    <x:t xml:space="preserve">Import</x:t>
  </x:si>
  <x:si>
    <x:t xml:space="preserve">81129289</x:t>
  </x:si>
  <x:si>
    <x:t xml:space="preserve">Unwrought gallium; gallium powders</x:t>
  </x:si>
  <x:si>
    <x:t xml:space="preserve">BE</x:t>
  </x:si>
  <x:si>
    <x:t xml:space="preserve">Belgium</x:t>
  </x:si>
  <x:si>
    <x:t xml:space="preserve">BR</x:t>
  </x:si>
  <x:si>
    <x:t xml:space="preserve">Brazil</x:t>
  </x:si>
  <x:si>
    <x:t xml:space="preserve">CN</x:t>
  </x:si>
  <x:si>
    <x:t xml:space="preserve">China</x:t>
  </x:si>
  <x:si>
    <x:t xml:space="preserve">FR</x:t>
  </x:si>
  <x:si>
    <x:t xml:space="preserve">France</x:t>
  </x:si>
  <x:si>
    <x:t xml:space="preserve">GB</x:t>
  </x:si>
  <x:si>
    <x:t xml:space="preserve">United Kingdom</x:t>
  </x:si>
  <x:si>
    <x:t xml:space="preserve">LU</x:t>
  </x:si>
  <x:si>
    <x:t xml:space="preserve">Luxembourg</x:t>
  </x:si>
  <x:si>
    <x:t xml:space="preserve">RU</x:t>
  </x:si>
  <x:si>
    <x:t xml:space="preserve">Russia</x:t>
  </x:si>
  <x:si>
    <x:t xml:space="preserve">SG</x:t>
  </x:si>
  <x:si>
    <x:t xml:space="preserve">Singapore</x:t>
  </x:si>
  <x:si>
    <x:t xml:space="preserve">SK</x:t>
  </x:si>
  <x:si>
    <x:t xml:space="preserve">Slovakia</x:t>
  </x:si>
  <x:si>
    <x:t xml:space="preserve">TW</x:t>
  </x:si>
  <x:si>
    <x:t xml:space="preserve">Taiwan</x:t>
  </x:si>
  <x:si>
    <x:t xml:space="preserve">UA</x:t>
  </x:si>
  <x:si>
    <x:t xml:space="preserve">Ukraine</x:t>
  </x:si>
  <x:si>
    <x:t xml:space="preserve">US</x:t>
  </x:si>
  <x:si>
    <x:t xml:space="preserve">United States</x:t>
  </x:si>
  <x:si>
    <x:t xml:space="preserve">WORLD</x:t>
  </x:si>
  <x:si>
    <x:t xml:space="preserve">All countries of the world</x:t>
  </x:si>
  <x:si>
    <x:t xml:space="preserve">CA</x:t>
  </x:si>
  <x:si>
    <x:t xml:space="preserve">Canada</x:t>
  </x:si>
  <x:si>
    <x:t xml:space="preserve">IL</x:t>
  </x:si>
  <x:si>
    <x:t xml:space="preserve">Israel</x:t>
  </x:si>
  <x:si>
    <x:t xml:space="preserve">IN</x:t>
  </x:si>
  <x:si>
    <x:t xml:space="preserve">India</x:t>
  </x:si>
  <x:si>
    <x:t xml:space="preserve">JP</x:t>
  </x:si>
  <x:si>
    <x:t xml:space="preserve">Japan</x:t>
  </x:si>
  <x:si>
    <x:t xml:space="preserve">KR</x:t>
  </x:si>
  <x:si>
    <x:t xml:space="preserve">South Korea</x:t>
  </x:si>
  <x:si>
    <x:t xml:space="preserve">LT</x:t>
  </x:si>
  <x:si>
    <x:t xml:space="preserve">Lithuania</x:t>
  </x:si>
  <x:si>
    <x:t xml:space="preserve">PL</x:t>
  </x:si>
  <x:si>
    <x:t xml:space="preserve">Poland</x:t>
  </x:si>
  <x:si>
    <x:t xml:space="preserve">ZA</x:t>
  </x:si>
  <x:si>
    <x:t xml:space="preserve">South Africa</x:t>
  </x:si>
  <x:si>
    <x:t xml:space="preserve">AT</x:t>
  </x:si>
  <x:si>
    <x:t xml:space="preserve">Austria</x:t>
  </x:si>
  <x:si>
    <x:t xml:space="preserve">HK</x:t>
  </x:si>
  <x:si>
    <x:t xml:space="preserve">Hong Kong</x:t>
  </x:si>
  <x:si>
    <x:t xml:space="preserve">NL</x:t>
  </x:si>
  <x:si>
    <x:t xml:space="preserve">Netherlands</x:t>
  </x:si>
  <x:si>
    <x:t xml:space="preserve">CH</x:t>
  </x:si>
  <x:si>
    <x:t xml:space="preserve">Switzerland</x:t>
  </x:si>
  <x:si>
    <x:t xml:space="preserve">IT</x:t>
  </x:si>
  <x:si>
    <x:t xml:space="preserve">Italy</x:t>
  </x:si>
  <x:si>
    <x:t xml:space="preserve">TR</x:t>
  </x:si>
  <x:si>
    <x:t xml:space="preserve">Türkiye</x:t>
  </x:si>
  <x:si>
    <x:t xml:space="preserve">CZ</x:t>
  </x:si>
  <x:si>
    <x:t xml:space="preserve">Czechia</x:t>
  </x:si>
  <x:si>
    <x:t xml:space="preserve">RO</x:t>
  </x:si>
  <x:si>
    <x:t xml:space="preserve">Romania</x:t>
  </x:si>
  <x:si>
    <x:t xml:space="preserve">Field</x:t>
  </x:si>
  <x:si>
    <x:t xml:space="preserve">Detail</x:t>
  </x:si>
  <x:si>
    <x:t xml:space="preserve">Source</x:t>
  </x:si>
  <x:si>
    <x:t xml:space="preserve">Eurostat Comext</x:t>
  </x:si>
  <x:si>
    <x:t xml:space="preserve">Dataset</x:t>
  </x:si>
  <x:si>
    <x:t xml:space="preserve">DS-045409 — EU trade since 1988 by HS2-4-6 and CN8</x:t>
  </x:si>
  <x:si>
    <x:t xml:space="preserve">Reporter / Flow</x:t>
  </x:si>
  <x:si>
    <x:t xml:space="preserve">Germany / Imports</x:t>
  </x:si>
  <x:si>
    <x:t xml:space="preserve">CN8 81129289 — Unwrought gallium; gallium powders</x:t>
  </x:si>
  <x:si>
    <x:t xml:space="preserve">Period</x:t>
  </x:si>
  <x:si>
    <x:t xml:space="preserve">2019–2025 annual data</x:t>
  </x:si>
  <x:si>
    <x:t xml:space="preserve">Source URL</x:t>
  </x:si>
  <x:si>
    <x:t xml:space="preserve">https://ec.europa.eu/eurostat/api/comext/dissemination/statistics/1.0/data/DS-045409?format=JSON&amp;freq=A&amp;reporter=DE&amp;product=81129289&amp;flow=1&amp;sinceTimePeriod=2019&amp;untilTimePeriod=2025</x:t>
  </x:si>
  <x:si>
    <x:t xml:space="preserve">Master trace note</x:t>
  </x:si>
  <x:si>
    <x:t xml:space="preserve">This workbook now preserves the Germany branch plus downstream Slovakia, Netherlands, Canada summary, Japan evidence, and TSDA classifications.</x:t>
  </x:si>
  <x:si>
    <x:t xml:space="preserve">Germany API</x:t>
  </x:si>
  <x:si>
    <x:t xml:space="preserve">Slovakia API</x:t>
  </x:si>
  <x:si>
    <x:t xml:space="preserve">https://ec.europa.eu/eurostat/api/comext/dissemination/statistics/1.0/data/DS-045409?format=JSON&amp;freq=A&amp;reporter=SK&amp;product=81129289&amp;flow=1&amp;sinceTimePeriod=2019&amp;untilTimePeriod=2025</x:t>
  </x:si>
  <x:si>
    <x:t xml:space="preserve">Netherlands API</x:t>
  </x:si>
  <x:si>
    <x:t xml:space="preserve">https://ec.europa.eu/eurostat/api/comext/dissemination/statistics/1.0/data/DS-045409?format=JSON&amp;freq=A&amp;reporter=NL&amp;product=81129289&amp;flow=1&amp;sinceTimePeriod=2019&amp;untilTimePeriod=2025</x:t>
  </x:si>
  <x:si>
    <x:t xml:space="preserve">Japan customs tariff</x:t>
  </x:si>
  <x:si>
    <x:t xml:space="preserve">https://www.customs.go.jp/english/tariff/2025_04_01/data/e_81.htm</x:t>
  </x:si>
  <x:si>
    <x:t xml:space="preserve">USGS Japan 2024</x:t>
  </x:si>
  <x:si>
    <x:t xml:space="preserve">https://www.usgs.gov/centers/national-minerals-information-center/japan</x:t>
  </x:si>
  <x:si>
    <x:t xml:space="preserve">USGS Gallium 2022</x:t>
  </x:si>
  <x:si>
    <x:t xml:space="preserve">https://pubs.usgs.gov/myb/vol1/2022/myb1-2022-gallium.pdf</x:t>
  </x:si>
  <x:si>
    <x:t xml:space="preserve">Taiwan source</x:t>
  </x:si>
  <x:si>
    <x:t xml:space="preserve">Taiwan Customs Administration / Ministry of Finance, Export/Import Value (by Country), CCC 81129219007, 2019/01–2025/12; user-exported PDF.</x:t>
  </x:si>
  <x:si>
    <x:t xml:space="preserve">Taiwan code</x:t>
  </x:si>
  <x:si>
    <x:t xml:space="preserve">8112.92.19.00-7 — Other unwrought base metal; powders; effective 2009-01-01.</x:t>
  </x:si>
  <x:si>
    <x:t xml:space="preserve">USGS 2020</x:t>
  </x:si>
  <x:si>
    <x:t xml:space="preserve">https://pubs.usgs.gov/publication/mcs2020</x:t>
  </x:si>
  <x:si>
    <x:t xml:space="preserve">USGS 2022</x:t>
  </x:si>
  <x:si>
    <x:t xml:space="preserve">https://pubs.usgs.gov/publication/mcs2022</x:t>
  </x:si>
  <x:si>
    <x:t xml:space="preserve">USGS 2023</x:t>
  </x:si>
  <x:si>
    <x:t xml:space="preserve">https://pubs.usgs.gov/publication/mcs2023</x:t>
  </x:si>
  <x:si>
    <x:t xml:space="preserve">USGS 2025</x:t>
  </x:si>
  <x:si>
    <x:t xml:space="preserve">https://pubs.usgs.gov/publication/mcs2025</x:t>
  </x:si>
  <x:si>
    <x:t xml:space="preserve">USGS gallium archive</x:t>
  </x:si>
  <x:si>
    <x:t xml:space="preserve">https://www.usgs.gov/centers/national-minerals-information-center/gallium-statistics-and-information</x:t>
  </x:si>
  <x:si>
    <x:t xml:space="preserve">Production source mapping</x:t>
  </x:si>
  <x:si>
    <x:t xml:space="preserve">2019=MCS2020; 2020=MCS2021; 2021=MCS2022; 2022=MCS2023; 2023=MCS2024; 2024–2025=MCS2026.</x:t>
  </x:si>
  <x:si>
    <x:t xml:space="preserve">MCS 2020</x:t>
  </x:si>
  <x:si>
    <x:t xml:space="preserve">MCS 2021</x:t>
  </x:si>
  <x:si>
    <x:t xml:space="preserve">https://pubs.usgs.gov/periodicals/mcs2021/mcs2021-gallium.pdf</x:t>
  </x:si>
  <x:si>
    <x:t xml:space="preserve">MCS 2022</x:t>
  </x:si>
  <x:si>
    <x:t xml:space="preserve">MCS 2023</x:t>
  </x:si>
  <x:si>
    <x:t xml:space="preserve">MCS 2024</x:t>
  </x:si>
  <x:si>
    <x:t xml:space="preserve">https://pubs.usgs.gov/periodicals/mcs2024/mcs2024-gallium.pdf</x:t>
  </x:si>
  <x:si>
    <x:t xml:space="preserve">MCS 2026</x:t>
  </x:si>
  <x:si>
    <x:t xml:space="preserve">https://pubs.usgs.gov/periodicals/mcs2026/mcs2026-gallium.pdf</x:t>
  </x:si>
  <x:si>
    <x:t xml:space="preserve">USGS production principal rule</x:t>
  </x:si>
  <x:si>
    <x:t xml:space="preserve">Use the latest revised country production value available for each historical year as of the research cutoff.</x:t>
  </x:si>
  <x:si>
    <x:t xml:space="preserve">USGS production sensitivity</x:t>
  </x:si>
  <x:si>
    <x:t xml:space="preserve">Repeat pooled HHI using each year's contemporaneous/first-published estimate.</x:t>
  </x:si>
  <x:si>
    <x:t xml:space="preserve">Russia scenario rule</x:t>
  </x:si>
  <x:si>
    <x:t xml:space="preserve">Keep Russia outside China-max attribution because USGS identifies it as a primary producer and its domestic annual output materially exceeds the U.S.-bound route.</x:t>
  </x:si>
  <x:si>
    <x:t xml:space="preserve">Section 8 quantity note</x:t>
  </x:si>
  <x:si>
    <x:t xml:space="preserve">Route period quantities are reconstructed from the completed USITC direct-supplier totals/shares and rounded to the nearest kg for validation calculations.</x:t>
  </x:si>
  <x:si>
    <x:t xml:space="preserve">Methodology amendment</x:t>
  </x:si>
  <x:si>
    <x:t xml:space="preserve">Version 1.1 effective 2026-10-01; Section 6.4 amended to use the Section 5 robustness standard.</x:t>
  </x:si>
  <x:si>
    <x:t xml:space="preserve">Validation status</x:t>
  </x:si>
  <x:si>
    <x:t xml:space="preserve">Section 8 quantity validation completed; supplier-specific U.S. unit values remain a potential refinement where a route expands.</x:t>
  </x:si>
  <x:si>
    <x:t xml:space="preserve">Original direct-data workbook</x:t>
  </x:si>
  <x:si>
    <x:t xml:space="preserve">E-3.35_Gallium_TSDA_Direct_Supplier_Analysis.xlsx, generated from USITC DataWeb export dated 2026-09-30.</x:t>
  </x:si>
  <x:si>
    <x:t xml:space="preserve">USITC measures</x:t>
  </x:si>
  <x:si>
    <x:t xml:space="preserve">Imports for Consumption; HTS 8112921000; annual Customs Value and First Unit of Quantity (kg); all countries broken out.</x:t>
  </x:si>
  <x:si>
    <x:t xml:space="preserve">Section 8 values</x:t>
  </x:si>
  <x:si>
    <x:t xml:space="preserve">Exact route quantities, customs values, and pooled unit values are calculated from the original USITC country-year rows, not reconstructed from rounded shares.</x:t>
  </x:si>
  <x:si>
    <x:t xml:space="preserve">Germany validation</x:t>
  </x:si>
  <x:si>
    <x:t xml:space="preserve">Baseline 5,727 kg / $1,087,471; post 9,852 kg / $4,675,722; pooled unit value $189.88/kg → $474.60/kg.</x:t>
  </x:si>
  <x:si>
    <x:t xml:space="preserve">Russia validation</x:t>
  </x:si>
  <x:si>
    <x:t xml:space="preserve">Baseline 1,800 kg / $419,685; post 424 kg / $129,249; pooled unit value $233.16/kg → $304.83/kg.</x:t>
  </x:si>
  <x:si>
    <x:t xml:space="preserve">Slovakia sensitivity</x:t>
  </x:si>
  <x:si>
    <x:t xml:space="preserve">Baseline 992 kg; post 2,370 kg; post share 5.10%, so it is included in the 5% sensitivity-route review.</x:t>
  </x:si>
  <x:si>
    <x:t xml:space="preserve">Source / Method</x:t>
  </x:si>
  <x:si>
    <x:t xml:space="preserve">Eurostat Comext DS-045409</x:t>
  </x:si>
  <x:si>
    <x:t xml:space="preserve">Imports</x:t>
  </x:si>
  <x:si>
    <x:t xml:space="preserve">DE</x:t>
  </x:si>
  <x:si>
    <x:t xml:space="preserve">2019–2025</x:t>
  </x:si>
  <x:si>
    <x:t xml:space="preserve">Quantity conversion</x:t>
  </x:si>
  <x:si>
    <x:t xml:space="preserve">API quantity in 100 kg converted to kg × 100</x:t>
  </x:si>
  <x:si>
    <x:t xml:space="preserve">API URL</x:t>
  </x:si>
  <x:si>
    <x:t xml:space="preserve">BG</x:t>
  </x:si>
  <x:si>
    <x:t xml:space="preserve">Bulgaria</x:t>
  </x:si>
  <x:si>
    <x:t xml:space="preserve">DK</x:t>
  </x:si>
  <x:si>
    <x:t xml:space="preserve">Denmark</x:t>
  </x:si>
  <x:si>
    <x:t xml:space="preserve">DZ</x:t>
  </x:si>
  <x:si>
    <x:t xml:space="preserve">Algeria</x:t>
  </x:si>
  <x:si>
    <x:t xml:space="preserve">EE</x:t>
  </x:si>
  <x:si>
    <x:t xml:space="preserve">Estonia</x:t>
  </x:si>
  <x:si>
    <x:t xml:space="preserve">ES</x:t>
  </x:si>
  <x:si>
    <x:t xml:space="preserve">Spain</x:t>
  </x:si>
  <x:si>
    <x:t xml:space="preserve">FI</x:t>
  </x:si>
  <x:si>
    <x:t xml:space="preserve">Finland</x:t>
  </x:si>
  <x:si>
    <x:t xml:space="preserve">GR</x:t>
  </x:si>
  <x:si>
    <x:t xml:space="preserve">Greece</x:t>
  </x:si>
  <x:si>
    <x:t xml:space="preserve">HU</x:t>
  </x:si>
  <x:si>
    <x:t xml:space="preserve">Hungary</x:t>
  </x:si>
  <x:si>
    <x:t xml:space="preserve">IE</x:t>
  </x:si>
  <x:si>
    <x:t xml:space="preserve">Ireland</x:t>
  </x:si>
  <x:si>
    <x:t xml:space="preserve">LV</x:t>
  </x:si>
  <x:si>
    <x:t xml:space="preserve">Latvia</x:t>
  </x:si>
  <x:si>
    <x:t xml:space="preserve">MT</x:t>
  </x:si>
  <x:si>
    <x:t xml:space="preserve">Malta</x:t>
  </x:si>
  <x:si>
    <x:t xml:space="preserve">PT</x:t>
  </x:si>
  <x:si>
    <x:t xml:space="preserve">Portugal</x:t>
  </x:si>
  <x:si>
    <x:t xml:space="preserve">SE</x:t>
  </x:si>
  <x:si>
    <x:t xml:space="preserve">Sweden</x:t>
  </x:si>
  <x:si>
    <x:t xml:space="preserve">SI</x:t>
  </x:si>
  <x:si>
    <x:t xml:space="preserve">Slovenia</x:t>
  </x:si>
  <x:si>
    <x:t xml:space="preserve">Metric</x:t>
  </x:si>
  <x:si>
    <x:t xml:space="preserve">2019–2022</x:t>
  </x:si>
  <x:si>
    <x:t xml:space="preserve">2023–2025</x:t>
  </x:si>
  <x:si>
    <x:t xml:space="preserve">Interpretation</x:t>
  </x:si>
  <x:si>
    <x:t xml:space="preserve">Grouped HS10 8112.92.00.00 quantity share — U.S.</x:t>
  </x:si>
  <x:si>
    <x:t xml:space="preserve">72.8%</x:t>
  </x:si>
  <x:si>
    <x:t xml:space="preserve">63.9%</x:t>
  </x:si>
  <x:si>
    <x:t xml:space="preserve">Context only; code combines multiple metals</x:t>
  </x:si>
  <x:si>
    <x:t xml:space="preserve">Grouped HS10 8112.92.00.00 quantity share — China</x:t>
  </x:si>
  <x:si>
    <x:t xml:space="preserve">17.4%</x:t>
  </x:si>
  <x:si>
    <x:t xml:space="preserve">31.0%</x:t>
  </x:si>
  <x:si>
    <x:t xml:space="preserve">Context only; not gallium-specific</x:t>
  </x:si>
  <x:si>
    <x:t xml:space="preserve">Grouped-code China value share</x:t>
  </x:si>
  <x:si>
    <x:t xml:space="preserve">27.2%</x:t>
  </x:si>
  <x:si>
    <x:t xml:space="preserve">53.4%</x:t>
  </x:si>
  <x:si>
    <x:t xml:space="preserve">Context only; not a gallium true-source weight</x:t>
  </x:si>
  <x:si>
    <x:t xml:space="preserve">TSDA classification</x:t>
  </x:si>
  <x:si>
    <x:t xml:space="preserve">Canada = identified secondary/refining source; upstream scrap provenance unresolved.</x:t>
  </x:si>
  <x:si>
    <x:t xml:space="preserve">Evidence / Caveat</x:t>
  </x:si>
  <x:si>
    <x:t xml:space="preserve">Statistics Canada code</x:t>
  </x:si>
  <x:si>
    <x:t xml:space="preserve">HS10 8112.92.00.00; combines gallium with germanium, vanadium, indium, niobium and (in earlier years) hafnium/rhenium.</x:t>
  </x:si>
  <x:si>
    <x:t xml:space="preserve">Use in TSDA</x:t>
  </x:si>
  <x:si>
    <x:t xml:space="preserve">Do not proportionally assign Canada's U.S. gallium exports back to China from this grouped code.</x:t>
  </x:si>
  <x:si>
    <x:t xml:space="preserve">Industrial role</x:t>
  </x:si>
  <x:si>
    <x:t xml:space="preserve">Canada currently produces gallium through recycling; no primary gallium producer identified in the cited Canadian/USGS evidence.</x:t>
  </x:si>
  <x:si>
    <x:t xml:space="preserve">Classification rule</x:t>
  </x:si>
  <x:si>
    <x:t xml:space="preserve">Do not label Canada a China intermediary; do not call it fully independent without scrap-provenance evidence.</x:t>
  </x:si>
  <x:si>
    <x:t xml:space="preserve">Status</x:t>
  </x:si>
  <x:si>
    <x:t xml:space="preserve">Branch provisionally closed as unresolved secondary/refining provenance.</x:t>
  </x:si>
  <x:si>
    <x:t xml:space="preserve">Gallium-specific import / supply evidence</x:t>
  </x:si>
  <x:si>
    <x:t xml:space="preserve">China share</x:t>
  </x:si>
  <x:si>
    <x:t xml:space="preserve">Approx. China-linked amount</x:t>
  </x:si>
  <x:si>
    <x:t xml:space="preserve">Domestic / recycled evidence</x:t>
  </x:si>
  <x:si>
    <x:t xml:space="preserve">Customs-code limitation</x:t>
  </x:si>
  <x:si>
    <x:t xml:space="preserve">TSDA use</x:t>
  </x:si>
  <x:si>
    <x:t xml:space="preserve">Japan gallium imports: 76.5 t; total supply: 174 t</x:t>
  </x:si>
  <x:si>
    <x:t xml:space="preserve">72%</x:t>
  </x:si>
  <x:si>
    <x:t xml:space="preserve">≈55.1 t of imports</x:t>
  </x:si>
  <x:si>
    <x:t xml:space="preserve">41% of total supply recovered scrap; 2% low-grade primary domestic</x:t>
  </x:si>
  <x:si>
    <x:t xml:space="preserve">Japan tariff 8112.92-990 is not gallium-specific</x:t>
  </x:si>
  <x:si>
    <x:t xml:space="preserve">https://pubs.usgs.gov/myb/vol1/2019/myb1-2019-gallium.pdf</x:t>
  </x:si>
  <x:si>
    <x:t xml:space="preserve">Shows substantial China exposure alongside domestic primary + recycling.</x:t>
  </x:si>
  <x:si>
    <x:t xml:space="preserve">USGS estimated Japan consumption ≈160 t; reported China share of imported gallium</x:t>
  </x:si>
  <x:si>
    <x:t xml:space="preserve">58%</x:t>
  </x:si>
  <x:si>
    <x:t xml:space="preserve">Import total not stated in the cited USGS passage</x:t>
  </x:si>
  <x:si>
    <x:t xml:space="preserve">USGS circa 2021/22 table: 3 t low-purity primary; 100 t high-purity refined; 67 t secondary refined</x:t>
  </x:si>
  <x:si>
    <x:t xml:space="preserve">Japan tariff 8112.92-990 groups 'other' metals; cannot use customs country shares as gallium weights</x:t>
  </x:si>
  <x:si>
    <x:t xml:space="preserve">Do not proportionally map Japan exports to China from grouped customs data.</x:t>
  </x:si>
  <x:si>
    <x:t xml:space="preserve">Japan imported an estimated 50 t of gallium</x:t>
  </x:si>
  <x:si>
    <x:t xml:space="preserve">46%</x:t>
  </x:si>
  <x:si>
    <x:t xml:space="preserve">≈23 t</x:t>
  </x:si>
  <x:si>
    <x:t xml:space="preserve">USGS Japan report: estimated 3 t production and 60 t recovered from recycled scrap</x:t>
  </x:si>
  <x:si>
    <x:t xml:space="preserve">Gallium-specific USGS estimate preferred over grouped tariff series</x:t>
  </x:si>
  <x:si>
    <x:t xml:space="preserve">Post-shock evidence: China remains largest import source, but Japan also has major non-import/recycled supply.</x:t>
  </x:si>
  <x:si>
    <x:t xml:space="preserve">Japan customs finding</x:t>
  </x:si>
  <x:si>
    <x:t xml:space="preserve">Official 2025 tariff</x:t>
  </x:si>
  <x:si>
    <x:t xml:space="preserve">8112.92-990 = 'Other' under unwrought/waste/scrap/powders after separate indium, vanadium, germanium lines.</x:t>
  </x:si>
  <x:si>
    <x:t xml:space="preserve">Why this matters</x:t>
  </x:si>
  <x:si>
    <x:t xml:space="preserve">The residual Japanese code is not a clean gallium-only series, so pooled country shares from it cannot be used as TSDA true-source weights.</x:t>
  </x:si>
  <x:si>
    <x:t xml:space="preserve">Industrial structure</x:t>
  </x:si>
  <x:si>
    <x:t xml:space="preserve">USGS identifies Japan as a primary low-purity producer, major high-purity refiner, and major secondary/recycling producer.</x:t>
  </x:si>
  <x:si>
    <x:t xml:space="preserve">Provisional classification</x:t>
  </x:si>
  <x:si>
    <x:t xml:space="preserve">Japan = mixed primary/refining/recycling source with material China-linked imported feedstock; exact share of U.S.-bound Japanese gallium traceable to China is unresolved.</x:t>
  </x:si>
  <x:si>
    <x:t xml:space="preserve">Next test</x:t>
  </x:si>
  <x:si>
    <x:t xml:space="preserve">Use producer/refiner evidence and any gallium-specific Japan/JOGMEC source data; do not force a customs allocation from 8112.92-990.</x:t>
  </x:si>
  <x:si>
    <x:t xml:space="preserve">Branch</x:t>
  </x:si>
  <x:si>
    <x:t xml:space="preserve">Key upstream evidence</x:t>
  </x:si>
  <x:si>
    <x:t xml:space="preserve">China exposure signal</x:t>
  </x:si>
  <x:si>
    <x:t xml:space="preserve">Classification</x:t>
  </x:si>
  <x:si>
    <x:t xml:space="preserve">Can proportion to China?</x:t>
  </x:si>
  <x:si>
    <x:t xml:space="preserve">Next action</x:t>
  </x:si>
  <x:si>
    <x:t xml:space="preserve">Grouped Statistics Canada code; recycling/secondary role</x:t>
  </x:si>
  <x:si>
    <x:t xml:space="preserve">Grouped code China share rose, but not gallium-specific</x:t>
  </x:si>
  <x:si>
    <x:t xml:space="preserve">Secondary/refining source; scrap provenance unresolved</x:t>
  </x:si>
  <x:si>
    <x:t xml:space="preserve">No</x:t>
  </x:si>
  <x:si>
    <x:t xml:space="preserve">Provisionally closed</x:t>
  </x:si>
  <x:si>
    <x:t xml:space="preserve">Retain unresolved tag unless scrap-provenance evidence appears</x:t>
  </x:si>
  <x:si>
    <x:t xml:space="preserve">Direct imports include substantial China and Slovakia flows under gallium-specific CN8 81129289; Germany is also a refining/recycling node.</x:t>
  </x:si>
  <x:si>
    <x:t xml:space="preserve">Substantial China exposure is established, but Germany's import mix cannot be used as U.S.-bound feedstock weights.</x:t>
  </x:si>
  <x:si>
    <x:t xml:space="preserve">Refining/trading source; U.S.-bound upstream provenance unresolved</x:t>
  </x:si>
  <x:si>
    <x:t xml:space="preserve">Traced; attribution unresolved</x:t>
  </x:si>
  <x:si>
    <x:t xml:space="preserve">Keep Germany unresolved in true-source attribution; use its China exposure only as supporting evidence.</x:t>
  </x:si>
  <x:si>
    <x:t xml:space="preserve">Imports: Germany 76.7%; Luxembourg 11.3%; China 6.4%; Netherlands 5.5%; exports to Germany exceed same-code imports</x:t>
  </x:si>
  <x:si>
    <x:t xml:space="preserve">Direct China imports exist but do not explain Germany-bound volume</x:t>
  </x:si>
  <x:si>
    <x:t xml:space="preserve">High-purity refining + secondary recovery; feedstock provenance unresolved</x:t>
  </x:si>
  <x:si>
    <x:t xml:space="preserve">Do not treat same-code import shares as feedstock weights</x:t>
  </x:si>
  <x:si>
    <x:t xml:space="preserve">Imports: China 70.2%; Russia 23.2%; Germany 3.0%; Japan 2.6%</x:t>
  </x:si>
  <x:si>
    <x:t xml:space="preserve">Strong China exposure</x:t>
  </x:si>
  <x:si>
    <x:t xml:space="preserve">Trading/refining node with substantial China exposure</x:t>
  </x:si>
  <x:si>
    <x:t xml:space="preserve">Use cautiously; not a proof of re-export</x:t>
  </x:si>
  <x:si>
    <x:t xml:space="preserve">Traced</x:t>
  </x:si>
  <x:si>
    <x:t xml:space="preserve">Retain as China-linked channel, not proven rerouting</x:t>
  </x:si>
  <x:si>
    <x:t xml:space="preserve">2019 / 2022 / 2024</x:t>
  </x:si>
  <x:si>
    <x:t xml:space="preserve">2019: 72% of 76.5 t imports from China; 2022: 58% of imported gallium from China; 2024: 46% of 50 t imports from China</x:t>
  </x:si>
  <x:si>
    <x:t xml:space="preserve">Material China dependence persists, but Japan also has primary, refining, and recycling supply</x:t>
  </x:si>
  <x:si>
    <x:t xml:space="preserve">Mixed primary/refining/recycling source; exact U.S.-bound feedstock origin unresolved</x:t>
  </x:si>
  <x:si>
    <x:t xml:space="preserve">No—Japan customs residual code is not gallium-specific</x:t>
  </x:si>
  <x:si>
    <x:t xml:space="preserve">Current branch</x:t>
  </x:si>
  <x:si>
    <x:t xml:space="preserve">Seek gallium-specific JOGMEC/industry series; avoid grouped customs allocation</x:t>
  </x:si>
  <x:si>
    <x:t xml:space="preserve">Other countries</x:t>
  </x:si>
  <x:si>
    <x:t xml:space="preserve">Residual 9.02% of U.S. direct gallium imports after Taiwan (6.10%) is traced separately</x:t>
  </x:si>
  <x:si>
    <x:t xml:space="preserve">Upstream exposure not individually resolved</x:t>
  </x:si>
  <x:si>
    <x:t xml:space="preserve">Residual unresolved supplier group</x:t>
  </x:si>
  <x:si>
    <x:t xml:space="preserve">Retained as residual</x:t>
  </x:si>
  <x:si>
    <x:t xml:space="preserve">Carry as 'Other countries' in final TSDA calculations</x:t>
  </x:si>
  <x:si>
    <x:t xml:space="preserve">6.10% of U.S. direct gallium imports; Taiwan CCC 8112.92.19.00-7 is mixed residual code</x:t>
  </x:si>
  <x:si>
    <x:t xml:space="preserve">Full-period mixed-code imports are China-heavy, but not gallium-specific</x:t>
  </x:si>
  <x:si>
    <x:t xml:space="preserve">Traced supplier; gallium-specific upstream provenance unresolved</x:t>
  </x:si>
  <x:si>
    <x:t xml:space="preserve">Traced procedurally</x:t>
  </x:si>
  <x:si>
    <x:t xml:space="preserve">Do not use mixed-code partner shares as gallium weights</x:t>
  </x:si>
  <x:si>
    <x:t xml:space="preserve">Gallium pooled direct result</x:t>
  </x:si>
  <x:si>
    <x:t xml:space="preserve">2019–2022 vs 2023–2025</x:t>
  </x:si>
  <x:si>
    <x:t xml:space="preserve">USITC direct HHI 1,557.5 → 2,416.9; revised-series production HHI 9,498.0 → 9,751.3; China-max scenario 8,886.3 → 9,819.3</x:t>
  </x:si>
  <x:si>
    <x:t xml:space="preserve">Direct and production concentration rise; conservative China-max scenario also rises</x:t>
  </x:si>
  <x:si>
    <x:t xml:space="preserve">No Diversification under Methodology v1.1</x:t>
  </x:si>
  <x:si>
    <x:t xml:space="preserve">Section 8: one formally testable route (Russia) contradicts its prediction; other routes are exploratory because their pre-shock status was unresolved</x:t>
  </x:si>
  <x:si>
    <x:t xml:space="preserve">Preliminary result</x:t>
  </x:si>
  <x:si>
    <x:t xml:space="preserve">Preserve contradictions and report them in the final exhibit</x:t>
  </x:si>
  <x:si>
    <x:t xml:space="preserve">Rule</x:t>
  </x:si>
  <x:si>
    <x:t xml:space="preserve">Application</x:t>
  </x:si>
  <x:si>
    <x:t xml:space="preserve">TSDA objective</x:t>
  </x:si>
  <x:si>
    <x:t xml:space="preserve">Distinguish direct supplier diversification from underlying production/refining dependence.</x:t>
  </x:si>
  <x:si>
    <x:t xml:space="preserve">Baseline</x:t>
  </x:si>
  <x:si>
    <x:t xml:space="preserve">Post-shock</x:t>
  </x:si>
  <x:si>
    <x:t xml:space="preserve">Gallium-specific preference</x:t>
  </x:si>
  <x:si>
    <x:t xml:space="preserve">Use gallium-specific national/EU codes where available (e.g., Eurostat CN8 81129289).</x:t>
  </x:si>
  <x:si>
    <x:t xml:space="preserve">Grouped-code rule</x:t>
  </x:si>
  <x:si>
    <x:t xml:space="preserve">If a customs code combines gallium with other metals, do not use partner shares as gallium true-source weights.</x:t>
  </x:si>
  <x:si>
    <x:t xml:space="preserve">Transformation rule</x:t>
  </x:si>
  <x:si>
    <x:t xml:space="preserve">If a country refines/recycles and its exports exceed same-code imports, do not treat import shares as feedstock shares.</x:t>
  </x:si>
  <x:si>
    <x:t xml:space="preserve">Classification discipline</x:t>
  </x:si>
  <x:si>
    <x:t xml:space="preserve">Use 'unresolved' where feedstock/scrap provenance cannot be established; do not force a China/non-China allocation.</x:t>
  </x:si>
  <x:si>
    <x:t xml:space="preserve">Aggregates</x:t>
  </x:si>
  <x:si>
    <x:t xml:space="preserve">Exclude WORLD / intra-EU / extra-EU aggregates when calculating partner-country shares to avoid double counting.</x:t>
  </x:si>
  <x:si>
    <x:t xml:space="preserve">Audit trail</x:t>
  </x:si>
  <x:si>
    <x:t xml:space="preserve">Keep raw-source URL, annual records, period summaries, and branch classification together in this workbook.</x:t>
  </x:si>
  <x:si>
    <x:t xml:space="preserve">Supplier</x:t>
  </x:si>
  <x:si>
    <x:t xml:space="preserve">2023–2025 share</x:t>
  </x:si>
  <x:si>
    <x:t xml:space="preserve">Trace status</x:t>
  </x:si>
  <x:si>
    <x:t xml:space="preserve">TSDA treatment</x:t>
  </x:si>
  <x:si>
    <x:t xml:space="preserve">Secondary/refining source; upstream scrap provenance unresolved</x:t>
  </x:si>
  <x:si>
    <x:t xml:space="preserve">Refining/trading source; direct China exposure plus unresolved refining branches</x:t>
  </x:si>
  <x:si>
    <x:t xml:space="preserve">Mixed primary/refining/recycling source; material China-linked imports; exact U.S.-bound origin unresolved</x:t>
  </x:si>
  <x:si>
    <x:t xml:space="preserve">Direct upstream source</x:t>
  </x:si>
  <x:si>
    <x:t xml:space="preserve">Count as direct China exposure</x:t>
  </x:si>
  <x:si>
    <x:t xml:space="preserve">Traced (procedurally)</x:t>
  </x:si>
  <x:si>
    <x:t xml:space="preserve">Mixed residual customs code (CCC 8112.92.19.00-7); gallium-specific provenance unresolved</x:t>
  </x:si>
  <x:si>
    <x:t xml:space="preserve">Not individually traced</x:t>
  </x:si>
  <x:si>
    <x:t xml:space="preserve">Retain as residual 'Other countries'; do not force attribution</x:t>
  </x:si>
  <x:si>
    <x:t xml:space="preserve">Decision</x:t>
  </x:si>
  <x:si>
    <x:t xml:space="preserve">Residual treatment</x:t>
  </x:si>
  <x:si>
    <x:t xml:space="preserve">After Taiwan is traced separately, the remaining 9.02% of pooled 2023–2025 U.S. gallium imports is retained as 'Other countries' rather than individually traced. Traced coverage (Canada, Germany, Japan, China, Taiwan) is 90.98%.</x:t>
  </x:si>
  <x:si>
    <x:t xml:space="preserve">Reason</x:t>
  </x:si>
  <x:si>
    <x:t xml:space="preserve">Current analysis will not infer upstream origin for this residual without supplier-specific evidence.</x:t>
  </x:si>
  <x:si>
    <x:t xml:space="preserve">Keep 'Other countries' as a separate unresolved residual category in true-source tables and HHI calculations unless later resolved.</x:t>
  </x:si>
  <x:si>
    <x:t xml:space="preserve">Accepted working assumption for the initial gallium case study.</x:t>
  </x:si>
  <x:si>
    <x:t xml:space="preserve">Gallium TSDA — Preliminary Empirical Result</x:t>
  </x:si>
  <x:si>
    <x:t xml:space="preserve">Principal pooled comparison: 2019–2022 baseline vs. 2023–2025 post-shock, U.S. gallium metal (HTS 8112.92.1000)</x:t>
  </x:si>
  <x:si>
    <x:t xml:space="preserve">Measure</x:t>
  </x:si>
  <x:si>
    <x:t xml:space="preserve">2019–2022 baseline</x:t>
  </x:si>
  <x:si>
    <x:t xml:space="preserve">2023–2025 post-shock</x:t>
  </x:si>
  <x:si>
    <x:t xml:space="preserve">Change</x:t>
  </x:si>
  <x:si>
    <x:t xml:space="preserve">Supplementary metric</x:t>
  </x:si>
  <x:si>
    <x:t xml:space="preserve">Value</x:t>
  </x:si>
  <x:si>
    <x:t xml:space="preserve">Total U.S. import quantity (kg)</x:t>
  </x:si>
  <x:si>
    <x:t xml:space="preserve">Import quantity change</x:t>
  </x:si>
  <x:si>
    <x:t xml:space="preserve">Post-shock U.S. gallium import quantity increased.</x:t>
  </x:si>
  <x:si>
    <x:t xml:space="preserve">Direct-supplier HHI</x:t>
  </x:si>
  <x:si>
    <x:t xml:space="preserve">HHI change</x:t>
  </x:si>
  <x:si>
    <x:t xml:space="preserve">Direct sourcing became more concentrated, not less.</x:t>
  </x:si>
  <x:si>
    <x:t xml:space="preserve">Dominant direct supplier</x:t>
  </x:si>
  <x:si>
    <x:t xml:space="preserve">Japan → Canada</x:t>
  </x:si>
  <x:si>
    <x:t xml:space="preserve">Dominant-share change</x:t>
  </x:si>
  <x:si>
    <x:t xml:space="preserve">Largest supplier share increased materially.</x:t>
  </x:si>
  <x:si>
    <x:t xml:space="preserve">Dominant supplier share</x:t>
  </x:si>
  <x:si>
    <x:t xml:space="preserve">Named supplier trace coverage</x:t>
  </x:si>
  <x:si>
    <x:t xml:space="preserve">Canada + Germany + Japan + China + Taiwan account for 90.98% of post-shock imports; protocol threshold met.</x:t>
  </x:si>
  <x:si>
    <x:t xml:space="preserve">NO DIVERSIFICATION under Methodology v1.1: pooled concentration increased and the annual sensitivity pattern is mixed/volatile, so no robust decline is established.</x:t>
  </x:si>
  <x:si>
    <x:t xml:space="preserve">2019–2022 share</x:t>
  </x:si>
  <x:si>
    <x:t xml:space="preserve">U.S. post-shock share</x:t>
  </x:si>
  <x:si>
    <x:t xml:space="preserve">Upstream finding</x:t>
  </x:si>
  <x:si>
    <x:t xml:space="preserve">Current treatment</x:t>
  </x:si>
  <x:si>
    <x:t xml:space="preserve">Secondary/refining source; Canadian customs code is mixed-metals; scrap/feedstock provenance unresolved.</x:t>
  </x:si>
  <x:si>
    <x:t xml:space="preserve">Do not attribute proportionally to China.</x:t>
  </x:si>
  <x:si>
    <x:t xml:space="preserve">Substantial direct China exposure; major Slovakia/refining branch; exact U.S.-bound provenance unresolved.</x:t>
  </x:si>
  <x:si>
    <x:t xml:space="preserve">Do not mechanically convert Germany's import mix into U.S.-bound true-source shares.</x:t>
  </x:si>
  <x:si>
    <x:t xml:space="preserve">Primary/refining/recycling source with material China-linked imports and substantial recycled/domestic supply.</x:t>
  </x:si>
  <x:si>
    <x:t xml:space="preserve">Mixed origin; exact U.S.-bound China share unresolved.</x:t>
  </x:si>
  <x:si>
    <x:t xml:space="preserve">Direct supplier is the upstream source of interest.</x:t>
  </x:si>
  <x:si>
    <x:t xml:space="preserve">Confirmed direct China exposure.</x:t>
  </x:si>
  <x:si>
    <x:t xml:space="preserve">Traced procedurally; Taiwan CCC 8112.92.19.00-7 is a mixed residual code, so partner shares cannot serve as gallium-specific weights.</x:t>
  </x:si>
  <x:si>
    <x:t xml:space="preserve">Gallium-specific provenance unresolved; do not attribute.</x:t>
  </x:si>
  <x:si>
    <x:t xml:space="preserve">Not individually traced (includes Slovakia 5.10%, traced only for the 5% sensitivity screen).</x:t>
  </x:si>
  <x:si>
    <x:t xml:space="preserve">Carry as unresolved residual.</x:t>
  </x:si>
  <x:si>
    <x:t xml:space="preserve">Note</x:t>
  </x:si>
  <x:si>
    <x:t xml:space="preserve">Exact residual is calculated from the original country-level USITC shares.</x:t>
  </x:si>
  <x:si>
    <x:t xml:space="preserve">Displayed percentages may round by ±0.01 pp.</x:t>
  </x:si>
  <x:si>
    <x:t xml:space="preserve">Current interpretation</x:t>
  </x:si>
  <x:si>
    <x:t xml:space="preserve">The first empirical finding is stronger and simpler than the earlier working assumption: pooled U.S. direct-supplier concentration did not decline after the 2023 gallium shock. HHI increased from 1,557.5 to 2,416.9 (+859.4), while the dominant supplier share rose from 25.65% (Japan) to 40.01% (Canada). Under the TSDA classification framework, this supports 'No Diversification' at the direct-supplier stage under the principal pooled specification. The upstream tracing remains useful for showing that Canada, Germany and Japan cannot automatically be treated as independent true sources, but an exact true-source HHI should not be forced where provenance is unresolved.</x:t>
  </x:si>
  <x:si>
    <x:t xml:space="preserve">Protocol check</x:t>
  </x:si>
  <x:si>
    <x:t xml:space="preserve">Value / issue</x:t>
  </x:si>
  <x:si>
    <x:t xml:space="preserve">Action</x:t>
  </x:si>
  <x:si>
    <x:t xml:space="preserve">Audit note</x:t>
  </x:si>
  <x:si>
    <x:t xml:space="preserve">Principal pooled periods</x:t>
  </x:si>
  <x:si>
    <x:t xml:space="preserve">Complete</x:t>
  </x:si>
  <x:si>
    <x:t xml:space="preserve">2019–2022 vs. 2023–2025</x:t>
  </x:si>
  <x:si>
    <x:t xml:space="preserve">Retain</x:t>
  </x:si>
  <x:si>
    <x:t xml:space="preserve">U.S. direct data</x:t>
  </x:si>
  <x:si>
    <x:t xml:space="preserve">Pooled direct-supplier HHI and supplier shares from the prior USITC HTS 8112921000 analysis.</x:t>
  </x:si>
  <x:si>
    <x:t xml:space="preserve">Preserved</x:t>
  </x:si>
  <x:si>
    <x:t xml:space="preserve">1,557.5 → 2,416.9</x:t>
  </x:si>
  <x:si>
    <x:t xml:space="preserve">Use exact full-country HHI</x:t>
  </x:si>
  <x:si>
    <x:t xml:space="preserve">Upstream branch data</x:t>
  </x:si>
  <x:si>
    <x:t xml:space="preserve">Germany/Slovakia/Netherlands from Eurostat; Canada/Japan/Taiwan code limitations preserved.</x:t>
  </x:si>
  <x:si>
    <x:t xml:space="preserve">25.65% → 40.01%</x:t>
  </x:si>
  <x:si>
    <x:t xml:space="preserve">Use in output</x:t>
  </x:si>
  <x:si>
    <x:t xml:space="preserve">Methodology v1.1: No Diversification applies where direct-supplier concentration does not show a robust decline under Section 5.</x:t>
  </x:si>
  <x:si>
    <x:t xml:space="preserve">Current</x:t>
  </x:si>
  <x:si>
    <x:t xml:space="preserve">90% intermediary trace target</x:t>
  </x:si>
  <x:si>
    <x:t xml:space="preserve">Canada + Germany + Japan + China + Taiwan = 90.98%</x:t>
  </x:si>
  <x:si>
    <x:t xml:space="preserve">Threshold met; Taiwan remains gallium-provenance unresolved</x:t>
  </x:si>
  <x:si>
    <x:t xml:space="preserve">True-source attribution</x:t>
  </x:si>
  <x:si>
    <x:t xml:space="preserve">Reported as conservative attribution scenarios, not a point estimate or formal identification bound.</x:t>
  </x:si>
  <x:si>
    <x:t xml:space="preserve">Calculated</x:t>
  </x:si>
  <x:si>
    <x:t xml:space="preserve">Annual / sensitivity check</x:t>
  </x:si>
  <x:si>
    <x:t xml:space="preserve">Annual HHI pattern is volatile; simple annual average 2,807.5 → 2,641.0</x:t>
  </x:si>
  <x:si>
    <x:t xml:space="preserve">Under v1.1, evidence does not establish a robust decline</x:t>
  </x:si>
  <x:si>
    <x:t xml:space="preserve">Annual-pattern check</x:t>
  </x:si>
  <x:si>
    <x:t xml:space="preserve">Baseline annual HHI average</x:t>
  </x:si>
  <x:si>
    <x:t xml:space="preserve">Simple average of 2019–2022 annual HHIs</x:t>
  </x:si>
  <x:si>
    <x:t xml:space="preserve">Post-shock annual HHI average</x:t>
  </x:si>
  <x:si>
    <x:t xml:space="preserve">Simple average of 2023–2025 annual HHIs</x:t>
  </x:si>
  <x:si>
    <x:t xml:space="preserve">Annual pattern</x:t>
  </x:si>
  <x:si>
    <x:t xml:space="preserve">Volatile/mixed; no sustained downward trend</x:t>
  </x:si>
  <x:si>
    <x:t xml:space="preserve">Robustness implication</x:t>
  </x:si>
  <x:si>
    <x:t xml:space="preserve">Pooled HHI rises strongly, while annual HHIs fluctuate. Do not claim a robust decline in direct-supplier concentration.</x:t>
  </x:si>
  <x:si>
    <x:t xml:space="preserve">Working gallium finding</x:t>
  </x:si>
  <x:si>
    <x:t xml:space="preserve">Under the principal pooled specification, U.S. gallium direct-supplier concentration increased materially after the shock (HHI 1,557.5 → 2,416.9), and the dominant supplier share rose (25.65% → 40.01%). Annual HHI values are volatile rather than showing a sustained decline. The current evidence therefore does not support a robust reduction in direct-supplier concentration. Upstream tracing further shows that the largest alternative suppliers—Canada, Germany and Japan—cannot automatically be treated as independent true sources because major portions of their feedstock/refining provenance remain unresolved.</x:t>
  </x:si>
  <x:si>
    <x:t xml:space="preserve">Section 10 output</x:t>
  </x:si>
  <x:si>
    <x:t xml:space="preserve">Change / result</x:t>
  </x:si>
  <x:si>
    <x:t xml:space="preserve">Dominant direct-supplier share</x:t>
  </x:si>
  <x:si>
    <x:t xml:space="preserve">True-source attribution scenario range</x:t>
  </x:si>
  <x:si>
    <x:t xml:space="preserve">1,557.5–8,886.3</x:t>
  </x:si>
  <x:si>
    <x:t xml:space="preserve">2,416.9–9,819.3</x:t>
  </x:si>
  <x:si>
    <x:t xml:space="preserve">Both scenario endpoints increase</x:t>
  </x:si>
  <x:si>
    <x:t xml:space="preserve">Production HHI (principal revised series)</x:t>
  </x:si>
  <x:si>
    <x:t xml:space="preserve">Dominant producer share (principal revised series)</x:t>
  </x:si>
  <x:si>
    <x:t xml:space="preserve">Net import reliance</x:t>
  </x:si>
  <x:si>
    <x:t xml:space="preserve">No Diversification under Methodology v1.1; no robust decline in direct-supplier concentration</x:t>
  </x:si>
  <x:si>
    <x:t xml:space="preserve">2019–2025 quantity (kg)</x:t>
  </x:si>
  <x:si>
    <x:t xml:space="preserve">Share of mixed code</x:t>
  </x:si>
  <x:si>
    <x:t xml:space="preserve">Rank</x:t>
  </x:si>
  <x:si>
    <x:t xml:space="preserve">Gallium-specific?</x:t>
  </x:si>
  <x:si>
    <x:t xml:space="preserve">Context only — mixed residual code</x:t>
  </x:si>
  <x:si>
    <x:t xml:space="preserve">Republic of Korea</x:t>
  </x:si>
  <x:si>
    <x:t xml:space="preserve">Malaysia</x:t>
  </x:si>
  <x:si>
    <x:t xml:space="preserve">Russian Federation</x:t>
  </x:si>
  <x:si>
    <x:t xml:space="preserve">Total</x:t>
  </x:si>
  <x:si>
    <x:t xml:space="preserve">Taiwan CCC code</x:t>
  </x:si>
  <x:si>
    <x:t xml:space="preserve">8112.92.19.00-7 / 81129219007</x:t>
  </x:si>
  <x:si>
    <x:t xml:space="preserve">Official description</x:t>
  </x:si>
  <x:si>
    <x:t xml:space="preserve">Other unwrought base metal; powders</x:t>
  </x:si>
  <x:si>
    <x:t xml:space="preserve">Effective date</x:t>
  </x:si>
  <x:si>
    <x:t xml:space="preserve">2009-01-01</x:t>
  </x:si>
  <x:si>
    <x:t xml:space="preserve">Observed 2019–2025 total</x:t>
  </x:si>
  <x:si>
    <x:t xml:space="preserve">45,803 kg under the mixed residual code</x:t>
  </x:si>
  <x:si>
    <x:t xml:space="preserve">Code limitation</x:t>
  </x:si>
  <x:si>
    <x:t xml:space="preserve">No gallium-specific CCC line exists under HS 8112.92; gallium is embedded in a residual mixed-metal category.</x:t>
  </x:si>
  <x:si>
    <x:t xml:space="preserve">Taiwan = traced supplier, but gallium-specific upstream provenance unresolved.</x:t>
  </x:si>
  <x:si>
    <x:t xml:space="preserve">Attribution rule</x:t>
  </x:si>
  <x:si>
    <x:t xml:space="preserve">Do not use partner-country shares from this mixed code as gallium true-source weights.</x:t>
  </x:si>
  <x:si>
    <x:t xml:space="preserve">Taiwan Customs Administration / Ministry of Finance; user-exported country-comparison report, 2019–2025.</x:t>
  </x:si>
  <x:si>
    <x:t xml:space="preserve">Gallium Primary-Production Concentration: Principal Revised Series and Contemporaneous Sensitivity</x:t>
  </x:si>
  <x:si>
    <x:t xml:space="preserve">China kg</x:t>
  </x:si>
  <x:si>
    <x:t xml:space="preserve">Japan kg</x:t>
  </x:si>
  <x:si>
    <x:t xml:space="preserve">Korea kg</x:t>
  </x:si>
  <x:si>
    <x:t xml:space="preserve">Russia kg</x:t>
  </x:si>
  <x:si>
    <x:t xml:space="preserve">Ukraine kg</x:t>
  </x:si>
  <x:si>
    <x:t xml:space="preserve">Named total kg</x:t>
  </x:si>
  <x:si>
    <x:t xml:space="preserve">HHI</x:t>
  </x:si>
  <x:si>
    <x:t xml:space="preserve">Latest revised source</x:t>
  </x:si>
  <x:si>
    <x:t xml:space="preserve">Other named kg</x:t>
  </x:si>
  <x:si>
    <x:t xml:space="preserve">Series</x:t>
  </x:si>
  <x:si>
    <x:t xml:space="preserve">First-published</x:t>
  </x:si>
  <x:si>
    <x:t xml:space="preserve">MCS 2025</x:t>
  </x:si>
  <x:si>
    <x:t xml:space="preserve">Pooled HHI</x:t>
  </x:si>
  <x:si>
    <x:t xml:space="preserve">Direction</x:t>
  </x:si>
  <x:si>
    <x:t xml:space="preserve">Principal latest-revised</x:t>
  </x:si>
  <x:si>
    <x:t xml:space="preserve">Higher</x:t>
  </x:si>
  <x:si>
    <x:t xml:space="preserve">Sensitivity first-published</x:t>
  </x:si>
  <x:si>
    <x:t xml:space="preserve">Method / interpretation</x:t>
  </x:si>
  <x:si>
    <x:t xml:space="preserve">Principal series</x:t>
  </x:si>
  <x:si>
    <x:t xml:space="preserve">Uses the latest revised USGS country production value available for each historical year as of the research cutoff.</x:t>
  </x:si>
  <x:si>
    <x:t xml:space="preserve">Sensitivity series</x:t>
  </x:si>
  <x:si>
    <x:t xml:space="preserve">Uses the contemporaneous/first-published estimate for each year to test sensitivity to later USGS revisions.</x:t>
  </x:si>
  <x:si>
    <x:t xml:space="preserve">Revision result</x:t>
  </x:si>
  <x:si>
    <x:t xml:space="preserve">Both specifications show higher post-shock production concentration and a higher China dominant-producer share.</x:t>
  </x:si>
  <x:si>
    <x:t xml:space="preserve">2025 rounding</x:t>
  </x:si>
  <x:si>
    <x:t xml:space="preserve">USGS reports a rounded 2025 world total of 900,000 kg while named-country figures sum to 909,000 kg; HHI is normalized to named-country totals.</x:t>
  </x:si>
  <x:si>
    <x:t xml:space="preserve">USGS reports U.S. gallium net import reliance at 100% throughout 2019–2025.</x:t>
  </x:si>
  <x:si>
    <x:t xml:space="preserve">Version</x:t>
  </x:si>
  <x:si>
    <x:t xml:space="preserve">Section</x:t>
  </x:si>
  <x:si>
    <x:t xml:space="preserve">Amendment</x:t>
  </x:si>
  <x:si>
    <x:t xml:space="preserve">1.1</x:t>
  </x:si>
  <x:si>
    <x:t xml:space="preserve">2026-10-01</x:t>
  </x:si>
  <x:si>
    <x:t xml:space="preserve">6.4 No Diversification</x:t>
  </x:si>
  <x:si>
    <x:t xml:space="preserve">Direct U.S. supplier concentration does not show a robust decline under Section 5.</x:t>
  </x:si>
  <x:si>
    <x:t xml:space="preserve">The gallium case exposed a specification gap: pooled HHI increased while the simple average of annual HHIs declined slightly.</x:t>
  </x:si>
  <x:si>
    <x:t xml:space="preserve">Prior v1.0 wording</x:t>
  </x:si>
  <x:si>
    <x:t xml:space="preserve">Direct U.S. supplier concentration does not decline under the principal and sensitivity specifications.</x:t>
  </x:si>
  <x:si>
    <x:t xml:space="preserve">Alignment with Section 5</x:t>
  </x:si>
  <x:si>
    <x:t xml:space="preserve">Section 5 already defines robustness in terms of whether a decline is established consistently; the amendment makes Section 6.4 use that robustness standard.</x:t>
  </x:si>
  <x:si>
    <x:t xml:space="preserve">Gallium application</x:t>
  </x:si>
  <x:si>
    <x:t xml:space="preserve">Pooled HHI rises 1,557.5 → 2,416.9; annual HHI pattern is volatile and the simple annual average falls 2,807.5 → 2,641.0. No robust decline is established.</x:t>
  </x:si>
  <x:si>
    <x:t xml:space="preserve">Effect</x:t>
  </x:si>
  <x:si>
    <x:t xml:space="preserve">No Diversification is supported at the direct-supplier stage under v1.1. Other classification provisions are unchanged.</x:t>
  </x:si>
  <x:si>
    <x:t xml:space="preserve">Version-control note</x:t>
  </x:si>
  <x:si>
    <x:t xml:space="preserve">Original v1.0 wording remains preserved in the September 30, 2026 methodology PDF; this amendment is dated before the final gallium exhibit.</x:t>
  </x:si>
  <x:si>
    <x:t xml:space="preserve">Gallium True-Source Attribution Scenario Range (not formal identification bounds)</x:t>
  </x:si>
  <x:si>
    <x:t xml:space="preserve">Scenario A HHI</x:t>
  </x:si>
  <x:si>
    <x:t xml:space="preserve">Scenario B HHI</x:t>
  </x:si>
  <x:si>
    <x:t xml:space="preserve">Russia direct share</x:t>
  </x:si>
  <x:si>
    <x:t xml:space="preserve">Scenario A rule</x:t>
  </x:si>
  <x:si>
    <x:t xml:space="preserve">Scenario B rule</x:t>
  </x:si>
  <x:si>
    <x:t xml:space="preserve">Unresolved direct-supplier branches remain separate at the direct-supplier level.</x:t>
  </x:si>
  <x:si>
    <x:t xml:space="preserve">All unresolved non-Russia branches are attributed to China; Russia remains Russia.</x:t>
  </x:si>
  <x:si>
    <x:t xml:space="preserve">Conservative attribution scenarios, not formal mathematical identification bounds.</x:t>
  </x:si>
  <x:si>
    <x:t xml:space="preserve">Both scenario endpoints increase after the shock.</x:t>
  </x:si>
  <x:si>
    <x:t xml:space="preserve">Rule / caveat</x:t>
  </x:si>
  <x:si>
    <x:t xml:space="preserve">Why Russia stays outside China attribution</x:t>
  </x:si>
  <x:si>
    <x:t xml:space="preserve">USGS identifies Russia as a primary gallium producer. Its annual primary output (roughly 4,000–8,000 kg in baseline years and 5,000–6,000 kg post-shock) materially exceeds the annualized U.S. direct route (about 450 kg baseline and 141 kg post-shock). This supports holding Russia outside the China-max scenario, while not claiming shipment-level provenance.</x:t>
  </x:si>
  <x:si>
    <x:t xml:space="preserve">Why this is a scenario range</x:t>
  </x:si>
  <x:si>
    <x:t xml:space="preserve">Scenario A is not a formal mathematical lower bound because a direct supplier may itself draw from multiple independent upstream sources. Scenario B is a deliberately conservative China-max attribution case.</x:t>
  </x:si>
  <x:si>
    <x:t xml:space="preserve">Germany treatment</x:t>
  </x:si>
  <x:si>
    <x:t xml:space="preserve">Germany remains unresolved because transformation/refining breaks the assumption that its gallium-specific import shares equal feedstock shares of U.S.-bound exports.</x:t>
  </x:si>
  <x:si>
    <x:t xml:space="preserve">Taiwan treatment</x:t>
  </x:si>
  <x:si>
    <x:t xml:space="preserve">Taiwan is traced procedurally, but its most detailed CCC code is a mixed residual category and cannot supply gallium-specific partner weights.</x:t>
  </x:si>
  <x:si>
    <x:t xml:space="preserve">Coverage</x:t>
  </x:si>
  <x:si>
    <x:t xml:space="preserve">Canada + Germany + Japan + China + Taiwan cover 90.98% of pooled post-shock U.S. imports. Slovakia is also traced for the 5% sensitivity screen.</x:t>
  </x:si>
  <x:si>
    <x:t xml:space="preserve">Result</x:t>
  </x:si>
  <x:si>
    <x:t xml:space="preserve">Scenario A rises 1,557.5 → 2,416.9. Scenario B rises 8,886.3 → 9,819.3. The direction is the same under both attribution scenarios.</x:t>
  </x:si>
  <x:si>
    <x:t xml:space="preserve">U.S. direct share</x:t>
  </x:si>
  <x:si>
    <x:t xml:space="preserve">Approx. pooled U.S. route kg</x:t>
  </x:si>
  <x:si>
    <x:t xml:space="preserve">Annualized U.S. route kg</x:t>
  </x:si>
  <x:si>
    <x:t xml:space="preserve">USGS primary production context</x:t>
  </x:si>
  <x:si>
    <x:t xml:space="preserve">Scenario treatment</x:t>
  </x:si>
  <x:si>
    <x:t xml:space="preserve">USGS reports Russia as a primary producer; annual primary output was roughly 4,000–8,000 kg across baseline years.</x:t>
  </x:si>
  <x:si>
    <x:t xml:space="preserve">Keep Russia outside China attribution in the conservative China-max scenario.</x:t>
  </x:si>
  <x:si>
    <x:t xml:space="preserve">USGS reports roughly 5,000–6,000 kg/year of Russian primary production in the post-shock period.</x:t>
  </x:si>
  <x:si>
    <x:t xml:space="preserve">Caveat</x:t>
  </x:si>
  <x:si>
    <x:t xml:space="preserve">Evidence basis</x:t>
  </x:si>
  <x:si>
    <x:t xml:space="preserve">USGS identifies Russia as a primary low-purity gallium producer; reported annual primary production materially exceeds the annualized U.S. direct route.</x:t>
  </x:si>
  <x:si>
    <x:t xml:space="preserve">What this establishes</x:t>
  </x:si>
  <x:si>
    <x:t xml:space="preserve">Russia has sufficient domestic primary output to support the U.S.-bound route without requiring China-origin material.</x:t>
  </x:si>
  <x:si>
    <x:t xml:space="preserve">What this does not establish</x:t>
  </x:si>
  <x:si>
    <x:t xml:space="preserve">It does not prove shipment-level provenance for every Russian export to the United States.</x:t>
  </x:si>
  <x:si>
    <x:t xml:space="preserve">Use in workbook</x:t>
  </x:si>
  <x:si>
    <x:t xml:space="preserve">This is sufficient for the conservative China-max scenario to preserve Russia as Russia rather than automatically attributing it to China.</x:t>
  </x:si>
  <x:si>
    <x:t xml:space="preserve">Route</x:t>
  </x:si>
  <x:si>
    <x:t xml:space="preserve">Pre-shock TSDA status</x:t>
  </x:si>
  <x:si>
    <x:t xml:space="preserve">Baseline qty (kg)</x:t>
  </x:si>
  <x:si>
    <x:t xml:space="preserve">Baseline avg kg/yr</x:t>
  </x:si>
  <x:si>
    <x:t xml:space="preserve">Baseline customs value (USD)</x:t>
  </x:si>
  <x:si>
    <x:t xml:space="preserve">Baseline unit value</x:t>
  </x:si>
  <x:si>
    <x:t xml:space="preserve">Post qty (kg)</x:t>
  </x:si>
  <x:si>
    <x:t xml:space="preserve">Post avg kg/yr</x:t>
  </x:si>
  <x:si>
    <x:t xml:space="preserve">Post customs value (USD)</x:t>
  </x:si>
  <x:si>
    <x:t xml:space="preserve">Post unit value</x:t>
  </x:si>
  <x:si>
    <x:t xml:space="preserve">Annualized qty change</x:t>
  </x:si>
  <x:si>
    <x:t xml:space="preserve">Unit-value change</x:t>
  </x:si>
  <x:si>
    <x:t xml:space="preserve">Route unit-value change relative to market</x:t>
  </x:si>
  <x:si>
    <x:t xml:space="preserve">Relative price position (exploratory)</x:t>
  </x:si>
  <x:si>
    <x:t xml:space="preserve">Restricted upstream source / direct supplier</x:t>
  </x:si>
  <x:si>
    <x:t xml:space="preserve">Reference route (restricted source itself; no intermediary prediction under Section 8.1)</x:t>
  </x:si>
  <x:si>
    <x:t xml:space="preserve">Direct China quantity is nearly flat on an annualized basis (−2.0%); its unit value rose less than the U.S. market average (see column P).</x:t>
  </x:si>
  <x:si>
    <x:t xml:space="preserve">China-exposed refiner/trader; U.S.-bound provenance unresolved</x:t>
  </x:si>
  <x:si>
    <x:t xml:space="preserve">Not formally testable — pre-shock status unresolved; exploratory only</x:t>
  </x:si>
  <x:si>
    <x:t xml:space="preserve">Route volume more than doubles on an annualized basis and unit value rises well above the market average. Descriptive evidence only; Germany was not classified as a dependent intermediary before the shock.</x:t>
  </x:si>
  <x:si>
    <x:t xml:space="preserve">Route expands roughly ninefold; unit value rises roughly in line with the market. Consistent with substitution toward Canadian refining/recycling; does not establish true-source independence.</x:t>
  </x:si>
  <x:si>
    <x:t xml:space="preserve">Mixed primary/refining/recycling source; imported feedstock partly China-linked</x:t>
  </x:si>
  <x:si>
    <x:t xml:space="preserve">Route expands modestly on an annualized basis; unit value rises in line with the market.</x:t>
  </x:si>
  <x:si>
    <x:t xml:space="preserve">Traced supplier; mixed residual customs code; provenance unresolved</x:t>
  </x:si>
  <x:si>
    <x:t xml:space="preserve">Not formally testable — mixed customs code; exploratory only</x:t>
  </x:si>
  <x:si>
    <x:t xml:space="preserve">Route expands and unit value rises far above the market average.</x:t>
  </x:si>
  <x:si>
    <x:t xml:space="preserve">Independent primary-producer route for scenario analysis</x:t>
  </x:si>
  <x:si>
    <x:t xml:space="preserve">High-purity refining/secondary source; feedstock provenance unresolved</x:t>
  </x:si>
  <x:si>
    <x:t xml:space="preserve">Not formally testable — sensitivity route; exploratory only</x:t>
  </x:si>
  <x:si>
    <x:t xml:space="preserve">Route expands strongly; unit value rises less than the market average.</x:t>
  </x:si>
  <x:si>
    <x:t xml:space="preserve">All U.S. imports (market reference)</x:t>
  </x:si>
  <x:si>
    <x:t xml:space="preserve">HTS 8112.92.1000, all countries</x:t>
  </x:si>
  <x:si>
    <x:t xml:space="preserve">Market benchmark</x:t>
  </x:si>
  <x:si>
    <x:t xml:space="preserve">Overall U.S. unit value rose about 72%, so a rise in a route's unit value is not by itself evidence of route-specific pressure.</x:t>
  </x:si>
  <x:si>
    <x:t xml:space="preserve">Section 8 overall finding</x:t>
  </x:si>
  <x:si>
    <x:t xml:space="preserve">China (reference route)</x:t>
  </x:si>
  <x:si>
    <x:t xml:space="preserve">Annualized direct quantity changes about −2.0%, while unit value rises about 14.6% — less than the market. The fall in China's direct share overstates the physical contraction of the direct route.</x:t>
  </x:si>
  <x:si>
    <x:t xml:space="preserve">Market-relative prices (exploratory)</x:t>
  </x:si>
  <x:si>
    <x:t xml:space="preserve">Relative to the ~72% market-wide unit-value rise, direct China and Slovakia routes became relatively cheaper (about −33%), Russia relatively cheaper (about −24%), Canada and Japan moved with the market, and Germany (+45%) and Taiwan (+106%) became relatively more expensive. This pattern is consistent with buyers paying a premium for some non-China routes; it is descriptive, not causal.</x:t>
  </x:si>
  <x:si>
    <x:t xml:space="preserve">Limitation of the v1.0 test</x:t>
  </x:si>
  <x:si>
    <x:t xml:space="preserve">The Section 8.1 rule counts a route as showing pressure if it shows at least one of declining quantity, rising unit value, or exit. When prices rise market-wide, nearly every route satisfies the unit-value condition, so the rule cannot discriminate between routes.</x:t>
  </x:si>
  <x:si>
    <x:t xml:space="preserve">Proposed refinement (not applied)</x:t>
  </x:si>
  <x:si>
    <x:t xml:space="preserve">For a future version: evaluate unit value relative to the market benchmark rather than in absolute terms. Recorded here as a proposal; the v1.0/v1.1 test above is reported unchanged.</x:t>
  </x:si>
  <x:si>
    <x:t xml:space="preserve">Sensitivity</x:t>
  </x:si>
  <x:si>
    <x:t xml:space="preserve">Slovakia exceeds the 5% post-shock sensitivity threshold (5.10% share); its route expands strongly; refining/feedstock provenance remains unresolved.</x:t>
  </x:si>
  <x:si>
    <x:t xml:space="preserve">Method implication</x:t>
  </x:si>
  <x:si>
    <x:t xml:space="preserve">Report the contradiction and the exploratory price evidence; do not reinterpret unresolved routes as confirmations.</x:t>
  </x:si>
</x:sst>
</file>

<file path=xl/styles.xml><?xml version="1.0" encoding="utf-8"?>
<x:styleSheet xmlns:x="http://schemas.openxmlformats.org/spreadsheetml/2006/main">
  <x:numFmts count="9">
    <x:numFmt numFmtId="164" formatCode="General"/>
    <x:numFmt numFmtId="165" formatCode="0"/>
    <x:numFmt numFmtId="166" formatCode="#,##0"/>
    <x:numFmt numFmtId="167" formatCode="\€#,##0"/>
    <x:numFmt numFmtId="168" formatCode="0.00%"/>
    <x:numFmt numFmtId="169" formatCode="0.0%"/>
    <x:numFmt numFmtId="170" formatCode="0.0"/>
    <x:numFmt numFmtId="171" formatCode="#,##0.00"/>
    <x:numFmt numFmtId="172" formatCode="\$#,##0.00"/>
  </x:numFmts>
  <x:fonts count="14">
    <x:font>
      <x:sz val="10"/>
      <x:name val="Arial"/>
    </x:font>
    <x:font>
      <x:sz val="10"/>
      <x:name val="Arial"/>
    </x:font>
    <x:font>
      <x:sz val="10"/>
      <x:name val="Arial"/>
    </x:font>
    <x:font>
      <x:sz val="10"/>
      <x:name val="Arial"/>
    </x:font>
    <x:font>
      <x:sz val="11"/>
      <x:name val="Calibri"/>
    </x:font>
    <x:font>
      <x:b/>
      <x:sz val="11"/>
      <x:color rgb="FFFFFFFF"/>
      <x:name val="Calibri"/>
    </x:font>
    <x:font>
      <x:b/>
      <x:sz val="11"/>
      <x:color rgb="FF1F1F1F"/>
      <x:name val="Calibri"/>
    </x:font>
    <x:font>
      <x:b/>
      <x:sz val="11"/>
      <x:name val="Calibri"/>
    </x:font>
    <x:font>
      <x:b/>
      <x:sz val="14"/>
      <x:color rgb="FFFFFFFF"/>
      <x:name val="Calibri"/>
    </x:font>
    <x:font>
      <x:i/>
      <x:sz val="11"/>
      <x:name val="Calibri"/>
    </x:font>
    <x:font>
      <x:b/>
      <x:sz val="18"/>
      <x:color rgb="FF000000"/>
      <x:name val="Calibri"/>
    </x:font>
    <x:font>
      <x:sz val="10"/>
      <x:color rgb="FF000000"/>
      <x:name val="Calibri"/>
    </x:font>
    <x:font>
      <x:b/>
      <x:sz val="13"/>
      <x:color rgb="FFFFFFFF"/>
      <x:name val="Calibri"/>
    </x:font>
    <x:font>
      <x:sz val="11"/>
      <x:color rgb="FF0000FF"/>
      <x:name val="Calibri"/>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FCE4D6"/>
      </x:patternFill>
    </x:fill>
    <x:fill>
      <x:patternFill patternType="solid">
        <x:fgColor rgb="FFFFF2CC"/>
      </x:patternFill>
    </x:fill>
  </x:fills>
  <x:borders count="2">
    <x:border diagonalUp="0" diagonalDown="0"/>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62">
    <x:xf numFmtId="164" fontId="0" fillId="0" borderId="0" xfId="0" applyFont="0" applyBorder="0" applyAlignment="0">
      <x:alignment horizontal="general" vertical="bottom" wrapText="0"/>
    </x:xf>
    <x:xf numFmtId="164" fontId="4" fillId="0" borderId="0" xfId="0" applyFont="1" applyBorder="0" applyAlignment="1">
      <x:alignment horizontal="general" vertical="bottom" wrapText="0"/>
    </x:xf>
    <x:xf numFmtId="164" fontId="5" fillId="2" borderId="0" xfId="0" applyFont="1" applyBorder="0" applyAlignment="1">
      <x:alignment horizontal="center" vertical="center" wrapText="0"/>
    </x:xf>
    <x:xf numFmtId="165" fontId="4" fillId="0" borderId="0" xfId="0" applyFont="1" applyBorder="0" applyAlignment="1">
      <x:alignment horizontal="general" vertical="bottom" wrapText="0"/>
    </x:xf>
    <x:xf numFmtId="166" fontId="4" fillId="0" borderId="0" xfId="0" applyFont="1" applyBorder="0" applyAlignment="1">
      <x:alignment horizontal="general" vertical="bottom" wrapText="0"/>
    </x:xf>
    <x:xf numFmtId="167" fontId="4" fillId="0" borderId="0" xfId="0" applyFont="1" applyBorder="0" applyAlignment="1">
      <x:alignment horizontal="general" vertical="bottom" wrapText="0"/>
    </x:xf>
    <x:xf numFmtId="164" fontId="5" fillId="2" borderId="0" xfId="0" applyFont="1" applyBorder="0" applyAlignment="1">
      <x:alignment horizontal="general" vertical="bottom" wrapText="1"/>
    </x:xf>
    <x:xf numFmtId="164" fontId="6" fillId="3" borderId="0" xfId="0" applyFont="1" applyBorder="0" applyAlignment="1">
      <x:alignment horizontal="general" vertical="bottom" wrapText="0"/>
    </x:xf>
    <x:xf numFmtId="164" fontId="7" fillId="3" borderId="0" xfId="0" applyFont="1" applyBorder="0" applyAlignment="1">
      <x:alignment horizontal="general" vertical="bottom" wrapText="0"/>
    </x:xf>
    <x:xf numFmtId="164" fontId="5" fillId="2" borderId="0" xfId="0" applyFont="1" applyBorder="0" applyAlignment="1">
      <x:alignment horizontal="center" vertical="center" wrapText="1"/>
    </x:xf>
    <x:xf numFmtId="164" fontId="5" fillId="2" borderId="0" xfId="0" applyFont="1" applyBorder="0" applyAlignment="1">
      <x:alignment horizontal="center" vertical="bottom" wrapText="1"/>
    </x:xf>
    <x:xf numFmtId="168" fontId="4" fillId="0" borderId="0" xfId="0" applyFont="1" applyBorder="0" applyAlignment="1">
      <x:alignment horizontal="general" vertical="bottom" wrapText="0"/>
    </x:xf>
    <x:xf numFmtId="164" fontId="8" fillId="4" borderId="0" xfId="0" applyFont="1" applyBorder="1" applyAlignment="1">
      <x:alignment horizontal="center" vertical="center" wrapText="1"/>
    </x:xf>
    <x:xf numFmtId="164" fontId="9" fillId="3" borderId="0" xfId="0" applyFont="1" applyBorder="1" applyAlignment="1">
      <x:alignment horizontal="center" vertical="bottom" wrapText="0"/>
    </x:xf>
    <x:xf numFmtId="169" fontId="4" fillId="0" borderId="0" xfId="0" applyFont="1" applyBorder="0" applyAlignment="1">
      <x:alignment horizontal="general" vertical="bottom" wrapText="0"/>
    </x:xf>
    <x:xf numFmtId="170" fontId="4" fillId="0" borderId="0" xfId="0" applyFont="1" applyBorder="0" applyAlignment="1">
      <x:alignment horizontal="general" vertical="bottom" wrapText="0"/>
    </x:xf>
    <x:xf numFmtId="164" fontId="7" fillId="5" borderId="0" xfId="0" applyFont="1" applyBorder="1" applyAlignment="1">
      <x:alignment horizontal="general" vertical="bottom" wrapText="1"/>
    </x:xf>
    <x:xf numFmtId="164" fontId="9" fillId="6" borderId="0" xfId="0" applyFont="1" applyBorder="0" applyAlignment="1">
      <x:alignment horizontal="general" vertical="bottom" wrapText="1"/>
    </x:xf>
    <x:xf numFmtId="164" fontId="5" fillId="2" borderId="0" xfId="0" applyFont="1" applyBorder="1" applyAlignment="1">
      <x:alignment horizontal="center" vertical="bottom" wrapText="0"/>
    </x:xf>
    <x:xf numFmtId="164" fontId="4" fillId="0" borderId="0" xfId="0" applyFont="1" applyBorder="1" applyAlignment="1">
      <x:alignment horizontal="general" vertical="top" wrapText="1"/>
    </x:xf>
    <x:xf numFmtId="164" fontId="5" fillId="2" borderId="0" xfId="0" applyFont="1" applyBorder="0" applyAlignment="1">
      <x:alignment horizontal="center" vertical="bottom" wrapText="0"/>
    </x:xf>
    <x:xf numFmtId="164" fontId="5" fillId="4" borderId="0" xfId="0" applyFont="1" applyBorder="1" applyAlignment="1">
      <x:alignment horizontal="center" vertical="bottom" wrapText="0"/>
    </x:xf>
    <x:xf numFmtId="164" fontId="12" fillId="4" borderId="0" xfId="0" applyFont="1" applyBorder="1" applyAlignment="1">
      <x:alignment horizontal="center" vertical="center" wrapText="1"/>
    </x:xf>
    <x:xf numFmtId="165" fontId="5" fillId="2" borderId="0" xfId="0" applyFont="1" applyBorder="0" applyAlignment="1">
      <x:alignment horizontal="center" vertical="center" wrapText="0"/>
    </x:xf>
    <x:xf numFmtId="166" fontId="5" fillId="2" borderId="0" xfId="0" applyFont="1" applyBorder="0" applyAlignment="1">
      <x:alignment horizontal="center" vertical="center" wrapText="0"/>
    </x:xf>
    <x:xf numFmtId="170" fontId="5" fillId="2" borderId="0" xfId="0" applyFont="1" applyBorder="0" applyAlignment="1">
      <x:alignment horizontal="center" vertical="center" wrapText="0"/>
    </x:xf>
    <x:xf numFmtId="168" fontId="5" fillId="2" borderId="0" xfId="0" applyFont="1" applyBorder="0" applyAlignment="1">
      <x:alignment horizontal="center" vertical="center" wrapText="0"/>
    </x:xf>
    <x:xf numFmtId="171" fontId="4" fillId="0" borderId="0" xfId="0" applyFont="1" applyBorder="0" applyAlignment="1">
      <x:alignment horizontal="general" vertical="bottom" wrapText="0"/>
    </x:xf>
    <x:xf numFmtId="164" fontId="4" fillId="0" borderId="0" xfId="0" applyFont="1" applyBorder="0" applyAlignment="1">
      <x:alignment horizontal="general" vertical="bottom" wrapText="1"/>
    </x:xf>
    <x:xf numFmtId="172" fontId="4" fillId="0" borderId="0" xfId="0" applyFont="1" applyBorder="0" applyAlignment="1">
      <x:alignment horizontal="general" vertical="bottom" wrapText="0"/>
    </x:xf>
    <x:xf numFmtId="171" fontId="13" fillId="0" borderId="0" xfId="0" applyFont="1" applyBorder="0" applyAlignment="1">
      <x:alignment horizontal="general" vertical="bottom" wrapText="0"/>
    </x:xf>
    <x:xf numFmtId="164" fontId="0" fillId="0" borderId="1" xfId="0" applyNumberFormat="1" applyFont="1" applyFill="1" applyBorder="1" applyAlignment="1">
      <x:alignment horizontal="general" vertical="bottom" wrapText="0"/>
    </x:xf>
    <x:xf numFmtId="164" fontId="4" fillId="0" borderId="1" xfId="0" applyNumberFormat="1" applyFont="1" applyFill="1" applyBorder="1" applyAlignment="1">
      <x:alignment horizontal="general" vertical="bottom" wrapText="0"/>
    </x:xf>
    <x:xf numFmtId="164" fontId="5" fillId="2" borderId="1" xfId="0" applyNumberFormat="1" applyFont="1" applyFill="1" applyBorder="1" applyAlignment="1">
      <x:alignment horizontal="center" vertical="center" wrapText="0"/>
    </x:xf>
    <x:xf numFmtId="165" fontId="4" fillId="0" borderId="1" xfId="0" applyNumberFormat="1" applyFont="1" applyFill="1" applyBorder="1" applyAlignment="1">
      <x:alignment horizontal="general" vertical="bottom" wrapText="0"/>
    </x:xf>
    <x:xf numFmtId="166" fontId="4" fillId="0" borderId="1" xfId="0" applyNumberFormat="1" applyFont="1" applyFill="1" applyBorder="1" applyAlignment="1">
      <x:alignment horizontal="general" vertical="bottom" wrapText="0"/>
    </x:xf>
    <x:xf numFmtId="167" fontId="4" fillId="0" borderId="1" xfId="0" applyNumberFormat="1" applyFont="1" applyFill="1" applyBorder="1" applyAlignment="1">
      <x:alignment horizontal="general" vertical="bottom" wrapText="0"/>
    </x:xf>
    <x:xf numFmtId="164" fontId="5" fillId="2" borderId="1" xfId="0" applyNumberFormat="1" applyFont="1" applyFill="1" applyBorder="1" applyAlignment="1">
      <x:alignment horizontal="general" vertical="bottom" wrapText="1"/>
    </x:xf>
    <x:xf numFmtId="164" fontId="6" fillId="3" borderId="1" xfId="0" applyNumberFormat="1" applyFont="1" applyFill="1" applyBorder="1" applyAlignment="1">
      <x:alignment horizontal="general" vertical="bottom" wrapText="0"/>
    </x:xf>
    <x:xf numFmtId="164" fontId="7" fillId="3" borderId="1" xfId="0" applyNumberFormat="1" applyFont="1" applyFill="1" applyBorder="1" applyAlignment="1">
      <x:alignment horizontal="general" vertical="bottom" wrapText="0"/>
    </x:xf>
    <x:xf numFmtId="164" fontId="5" fillId="2" borderId="1" xfId="0" applyNumberFormat="1" applyFont="1" applyFill="1" applyBorder="1" applyAlignment="1">
      <x:alignment horizontal="center" vertical="center" wrapText="1"/>
    </x:xf>
    <x:xf numFmtId="164" fontId="5" fillId="2" borderId="1" xfId="0" applyNumberFormat="1" applyFont="1" applyFill="1" applyBorder="1" applyAlignment="1">
      <x:alignment horizontal="center" vertical="bottom" wrapText="1"/>
    </x:xf>
    <x:xf numFmtId="168" fontId="4" fillId="0" borderId="1" xfId="0" applyNumberFormat="1" applyFont="1" applyFill="1" applyBorder="1" applyAlignment="1">
      <x:alignment horizontal="general" vertical="bottom" wrapText="0"/>
    </x:xf>
    <x:xf numFmtId="164" fontId="8" fillId="4" borderId="1" xfId="0" applyNumberFormat="1" applyFont="1" applyFill="1" applyBorder="1" applyAlignment="1">
      <x:alignment horizontal="center" vertical="center" wrapText="1"/>
    </x:xf>
    <x:xf numFmtId="164" fontId="9" fillId="3" borderId="1" xfId="0" applyNumberFormat="1" applyFont="1" applyFill="1" applyBorder="1" applyAlignment="1">
      <x:alignment horizontal="center" vertical="bottom" wrapText="0"/>
    </x:xf>
    <x:xf numFmtId="169" fontId="4" fillId="0" borderId="1" xfId="0" applyNumberFormat="1" applyFont="1" applyFill="1" applyBorder="1" applyAlignment="1">
      <x:alignment horizontal="general" vertical="bottom" wrapText="0"/>
    </x:xf>
    <x:xf numFmtId="170" fontId="4" fillId="0" borderId="1" xfId="0" applyNumberFormat="1" applyFont="1" applyFill="1" applyBorder="1" applyAlignment="1">
      <x:alignment horizontal="general" vertical="bottom" wrapText="0"/>
    </x:xf>
    <x:xf numFmtId="164" fontId="7" fillId="5" borderId="1" xfId="0" applyNumberFormat="1" applyFont="1" applyFill="1" applyBorder="1" applyAlignment="1">
      <x:alignment horizontal="general" vertical="bottom" wrapText="1"/>
    </x:xf>
    <x:xf numFmtId="164" fontId="9" fillId="6" borderId="1" xfId="0" applyNumberFormat="1" applyFont="1" applyFill="1" applyBorder="1" applyAlignment="1">
      <x:alignment horizontal="general" vertical="bottom" wrapText="1"/>
    </x:xf>
    <x:xf numFmtId="164" fontId="5" fillId="2" borderId="1" xfId="0" applyNumberFormat="1" applyFont="1" applyFill="1" applyBorder="1" applyAlignment="1">
      <x:alignment horizontal="center" vertical="bottom" wrapText="0"/>
    </x:xf>
    <x:xf numFmtId="164" fontId="4" fillId="0" borderId="1" xfId="0" applyNumberFormat="1" applyFont="1" applyFill="1" applyBorder="1" applyAlignment="1">
      <x:alignment horizontal="general" vertical="top" wrapText="1"/>
    </x:xf>
    <x:xf numFmtId="164" fontId="5" fillId="4" borderId="1" xfId="0" applyNumberFormat="1" applyFont="1" applyFill="1" applyBorder="1" applyAlignment="1">
      <x:alignment horizontal="center" vertical="bottom" wrapText="0"/>
    </x:xf>
    <x:xf numFmtId="164" fontId="12" fillId="4" borderId="1" xfId="0" applyNumberFormat="1" applyFont="1" applyFill="1" applyBorder="1" applyAlignment="1">
      <x:alignment horizontal="center" vertical="center" wrapText="1"/>
    </x:xf>
    <x:xf numFmtId="165" fontId="5" fillId="2" borderId="1" xfId="0" applyNumberFormat="1" applyFont="1" applyFill="1" applyBorder="1" applyAlignment="1">
      <x:alignment horizontal="center" vertical="center" wrapText="0"/>
    </x:xf>
    <x:xf numFmtId="166" fontId="5" fillId="2" borderId="1" xfId="0" applyNumberFormat="1" applyFont="1" applyFill="1" applyBorder="1" applyAlignment="1">
      <x:alignment horizontal="center" vertical="center" wrapText="0"/>
    </x:xf>
    <x:xf numFmtId="170" fontId="5" fillId="2" borderId="1" xfId="0" applyNumberFormat="1" applyFont="1" applyFill="1" applyBorder="1" applyAlignment="1">
      <x:alignment horizontal="center" vertical="center" wrapText="0"/>
    </x:xf>
    <x:xf numFmtId="168" fontId="5" fillId="2" borderId="1" xfId="0" applyNumberFormat="1" applyFont="1" applyFill="1" applyBorder="1" applyAlignment="1">
      <x:alignment horizontal="center" vertical="center" wrapText="0"/>
    </x:xf>
    <x:xf numFmtId="171" fontId="4" fillId="0" borderId="1" xfId="0" applyNumberFormat="1" applyFont="1" applyFill="1" applyBorder="1" applyAlignment="1">
      <x:alignment horizontal="general" vertical="bottom" wrapText="0"/>
    </x:xf>
    <x:xf numFmtId="164" fontId="4" fillId="0" borderId="1" xfId="0" applyNumberFormat="1" applyFont="1" applyFill="1" applyBorder="1" applyAlignment="1">
      <x:alignment horizontal="general" vertical="bottom" wrapText="1"/>
    </x:xf>
    <x:xf numFmtId="172" fontId="4" fillId="0" borderId="1" xfId="0" applyNumberFormat="1" applyFont="1" applyFill="1" applyBorder="1" applyAlignment="1">
      <x:alignment horizontal="general" vertical="bottom" wrapText="0"/>
    </x:xf>
    <x:xf numFmtId="171" fontId="13" fillId="0" borderId="1" xfId="0" applyNumberFormat="1" applyFont="1" applyFill="1" applyBorder="1" applyAlignment="1">
      <x:alignment horizontal="general" vertical="bottom" wrapText="0"/>
    </x:xf>
    <x:xf numFmtId="164" fontId="5" fillId="2"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dxfs count="3">
    <x:dxf>
      <x:fill>
        <x:patternFill>
          <x:bgColor rgb="FF1F4E78"/>
        </x:patternFill>
      </x:fill>
    </x:dxf>
    <x:dxf>
      <x:fill>
        <x:patternFill>
          <x:bgColor rgb="FF000000"/>
        </x:patternFill>
      </x:fill>
    </x:dxf>
    <x:dxf>
      <x:fill>
        <x:patternFill>
          <x:bgColor rgb="FFFFFF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156082"/>
      <x:rgbColor rgb="FFCCCCCC"/>
      <x:rgbColor rgb="FF8B8B8B"/>
      <x:rgbColor rgb="FF9999FF"/>
      <x:rgbColor rgb="FF993366"/>
      <x:rgbColor rgb="FFFFF2CC"/>
      <x:rgbColor rgb="FFD9EAF7"/>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CE4D6"/>
      <x:rgbColor rgb="FF3366FF"/>
      <x:rgbColor rgb="FF33CCCC"/>
      <x:rgbColor rgb="FF99CC00"/>
      <x:rgbColor rgb="FFFFCC00"/>
      <x:rgbColor rgb="FFFF9900"/>
      <x:rgbColor rgb="FFFF6600"/>
      <x:rgbColor rgb="FF666699"/>
      <x:rgbColor rgb="FF969696"/>
      <x:rgbColor rgb="FF17365D"/>
      <x:rgbColor rgb="FF339966"/>
      <x:rgbColor rgb="FF003300"/>
      <x:rgbColor rgb="FF333300"/>
      <x:rgbColor rgb="FF993300"/>
      <x:rgbColor rgb="FF993366"/>
      <x:rgbColor rgb="FF1F4E78"/>
      <x:rgbColor rgb="FF1F1F1F"/>
    </x:indexedColors>
  </x:colors>
</x:styleSheet>
</file>

<file path=xl/_rels/workbook.xml.rels>&#65279;<?xml version="1.0" encoding="utf-8"?><Relationships xmlns="http://schemas.openxmlformats.org/package/2006/relationships"><Relationship Type="http://schemas.openxmlformats.org/officeDocument/2006/relationships/styles" Target="/xl/styles.xml" Id="Rc2592a90f3d74df2" /><Relationship Type="http://schemas.openxmlformats.org/officeDocument/2006/relationships/theme" Target="/xl/theme/theme1.xml" Id="R06c3f56a0aa54acc" /><Relationship Type="http://schemas.openxmlformats.org/officeDocument/2006/relationships/sharedStrings" Target="/xl/sharedStrings.xml" Id="Rc136321733e042e5" /><Relationship Type="http://schemas.openxmlformats.org/officeDocument/2006/relationships/worksheet" Target="/xl/worksheets/sheet1.xml" Id="Rc1ea8d7ab0f44e58" /><Relationship Type="http://schemas.openxmlformats.org/officeDocument/2006/relationships/worksheet" Target="/xl/worksheets/sheet2.xml" Id="R3946c4cc6af8494f" /><Relationship Type="http://schemas.openxmlformats.org/officeDocument/2006/relationships/worksheet" Target="/xl/worksheets/sheet3.xml" Id="R1c7eeafa056a4ce6" /><Relationship Type="http://schemas.openxmlformats.org/officeDocument/2006/relationships/worksheet" Target="/xl/worksheets/sheet4.xml" Id="Re65a1f4f7cc44b7a" /><Relationship Type="http://schemas.openxmlformats.org/officeDocument/2006/relationships/worksheet" Target="/xl/worksheets/sheet5.xml" Id="Rf3033c18b16242e6" /><Relationship Type="http://schemas.openxmlformats.org/officeDocument/2006/relationships/worksheet" Target="/xl/worksheets/sheet6.xml" Id="R416e378c1f81495a" /><Relationship Type="http://schemas.openxmlformats.org/officeDocument/2006/relationships/worksheet" Target="/xl/worksheets/sheet7.xml" Id="R10c61d8e106f484f" /><Relationship Type="http://schemas.openxmlformats.org/officeDocument/2006/relationships/worksheet" Target="/xl/worksheets/sheet8.xml" Id="Rf927176b93ec4284" /><Relationship Type="http://schemas.openxmlformats.org/officeDocument/2006/relationships/worksheet" Target="/xl/worksheets/sheet9.xml" Id="R28d07685326640b4" /><Relationship Type="http://schemas.openxmlformats.org/officeDocument/2006/relationships/worksheet" Target="/xl/worksheets/sheet10.xml" Id="Rda3fed7e944b45d6" /><Relationship Type="http://schemas.openxmlformats.org/officeDocument/2006/relationships/worksheet" Target="/xl/worksheets/sheet11.xml" Id="R94b36afd185648fb" /><Relationship Type="http://schemas.openxmlformats.org/officeDocument/2006/relationships/worksheet" Target="/xl/worksheets/sheet12.xml" Id="R2a38d5989f0d4e93" /><Relationship Type="http://schemas.openxmlformats.org/officeDocument/2006/relationships/worksheet" Target="/xl/worksheets/sheet13.xml" Id="R42161bb472154b34" /><Relationship Type="http://schemas.openxmlformats.org/officeDocument/2006/relationships/worksheet" Target="/xl/worksheets/sheet14.xml" Id="Re2aa3d2460434f1b" /><Relationship Type="http://schemas.openxmlformats.org/officeDocument/2006/relationships/worksheet" Target="/xl/worksheets/sheet15.xml" Id="Rd4f3311183d04cff" /><Relationship Type="http://schemas.openxmlformats.org/officeDocument/2006/relationships/worksheet" Target="/xl/worksheets/sheet16.xml" Id="R22428176371c4d88"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15ee0e513b4ed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Annual U.S. Gallium Direct-Supplier HHI</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lineChart>
        <c:grouping val="standard"/>
        <c:varyColors val="0"/>
        <c:ser>
          <c:idx val="0"/>
          <c:order val="0"/>
          <c:tx>
            <c:strRef>
              <c:f>"Direct-supplier HHI"</c:f>
              <c:strCache>
                <c:ptCount val="1"/>
                <c:pt idx="0">
                  <c:v>Direct-supplier HHI</c:v>
                </c:pt>
              </c:strCache>
            </c:strRef>
          </c:tx>
          <c:spPr>
            <a:solidFill xmlns:a="http://schemas.openxmlformats.org/drawingml/2006/main">
              <a:srgbClr val="156082"/>
            </a:solidFill>
            <a:ln xmlns:a="http://schemas.openxmlformats.org/drawingml/2006/main" w="38160">
              <a:solidFill>
                <a:srgbClr val="156082"/>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'Preliminary TSDA Result'!$A$35:$A$41</c:f>
              <c:numCache>
                <c:formatCode>General</c:formatCode>
                <c:ptCount val="7"/>
                <c:pt idx="0">
                  <c:v>2019</c:v>
                </c:pt>
                <c:pt idx="1">
                  <c:v>2020</c:v>
                </c:pt>
                <c:pt idx="2">
                  <c:v>2021</c:v>
                </c:pt>
                <c:pt idx="3">
                  <c:v>2022</c:v>
                </c:pt>
                <c:pt idx="4">
                  <c:v>2023</c:v>
                </c:pt>
                <c:pt idx="5">
                  <c:v>2024</c:v>
                </c:pt>
                <c:pt idx="6">
                  <c:v>2025</c:v>
                </c:pt>
              </c:numCache>
            </c:numRef>
          </c:cat>
          <c:val>
            <c:numRef>
              <c:f>'Preliminary TSDA Result'!$B$35:$B$41</c:f>
              <c:numCache>
                <c:formatCode>0</c:formatCode>
                <c:ptCount val="7"/>
                <c:pt idx="0">
                  <c:v>1794</c:v>
                </c:pt>
                <c:pt idx="1">
                  <c:v>4184</c:v>
                </c:pt>
                <c:pt idx="2">
                  <c:v>3002</c:v>
                </c:pt>
                <c:pt idx="3">
                  <c:v>2250</c:v>
                </c:pt>
                <c:pt idx="4">
                  <c:v>2162</c:v>
                </c:pt>
                <c:pt idx="5">
                  <c:v>3421</c:v>
                </c:pt>
                <c:pt idx="6">
                  <c:v>2340</c:v>
                </c:pt>
              </c:numCache>
            </c:numRef>
          </c:val>
        </c:ser>
        <c:axId val="33766168"/>
        <c:axId val="23693729"/>
      </c:lineChart>
      <c:catAx>
        <c:axId val="33766168"/>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3693729"/>
        <c:crosses val="autoZero"/>
        <c:lblAlgn val="ctr"/>
        <c:lblOffset val="100"/>
        <c:noMultiLvlLbl val="0"/>
      </c:catAx>
      <c:valAx>
        <c:axId val="23693729"/>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33766168"/>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9</xdr:col>
      <xdr:colOff>0</xdr:colOff>
      <xdr:row>2</xdr:row>
      <xdr:rowOff>144360</xdr:rowOff>
    </xdr:from>
    <xdr:to>
      <xdr:col>15</xdr:col>
      <xdr:colOff>610920</xdr:colOff>
      <xdr:row>16</xdr:row>
      <xdr:rowOff>164520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15ee0e513b4ed0"/>
        </a:graphicData>
      </a:graphic>
    </xdr:graphicFrame>
    <xdr:clientData/>
  </xdr:twoCellAnchor>
</xdr:wsDr>
</file>

<file path=xl/tables/table1.xml><?xml version="1.0" encoding="utf-8"?>
<x:table xmlns:x="http://schemas.openxmlformats.org/spreadsheetml/2006/main" id="1" name="EurostatGalliumAnnual" displayName="EurostatGalliumAnnual" ref="A1:I110" headerRowCount="1" totalsRowCount="0" totalsRowShown="0">
  <x:tableColumns count="9">
    <x:tableColumn id="1" name="Reporter"/>
    <x:tableColumn id="2" name="Flow"/>
    <x:tableColumn id="3" name="CN8"/>
    <x:tableColumn id="4" name="Product"/>
    <x:tableColumn id="5" name="Partner code"/>
    <x:tableColumn id="6" name="Partner"/>
    <x:tableColumn id="7" name="Year"/>
    <x:tableColumn id="8" name="Quantity (kg)"/>
    <x:tableColumn id="9" name="Value (EUR)"/>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52065908ff4ed8" /></Relationships>
</file>

<file path=xl/worksheets/_rels/sheet10.xml.rels>&#65279;<?xml version="1.0" encoding="utf-8"?><Relationships xmlns="http://schemas.openxmlformats.org/package/2006/relationships"><Relationship Type="http://schemas.openxmlformats.org/officeDocument/2006/relationships/drawing" Target="/xl/drawings/drawing1.xml" Id="R10b9053031de47a6"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2" style="1" hidden="0" customWidth="1"/>
    <x:col min="2" max="2" width="10" style="1" hidden="0" customWidth="1"/>
    <x:col min="3" max="3" width="12" style="1" hidden="0" customWidth="1"/>
    <x:col min="4" max="4" width="34" style="1" hidden="0" customWidth="1"/>
    <x:col min="5" max="5" width="12" style="1" hidden="0" customWidth="1"/>
    <x:col min="6" max="6" width="20" style="1" hidden="0" customWidth="1"/>
    <x:col min="7" max="7" width="10" style="1" hidden="0" customWidth="1"/>
    <x:col min="8" max="9" width="16" style="1" hidden="0" customWidth="1"/>
  </x:cols>
  <x:sheetData>
    <x:row r="1" ht="15" hidden="0" customHeight="1">
      <x:c r="A1" s="2" t="s">
        <x:v>0</x:v>
      </x:c>
      <x:c r="B1" s="2" t="s">
        <x:v>1</x:v>
      </x:c>
      <x:c r="C1" s="2" t="s">
        <x:v>2</x:v>
      </x:c>
      <x:c r="D1" s="2" t="s">
        <x:v>3</x:v>
      </x:c>
      <x:c r="E1" s="2" t="s">
        <x:v>4</x:v>
      </x:c>
      <x:c r="F1" s="2" t="s">
        <x:v>5</x:v>
      </x:c>
      <x:c r="G1" s="2" t="s">
        <x:v>6</x:v>
      </x:c>
      <x:c r="H1" s="2" t="s">
        <x:v>7</x:v>
      </x:c>
      <x:c r="I1" s="2" t="s">
        <x:v>8</x:v>
      </x:c>
    </x:row>
    <x:row r="2" ht="15" hidden="0" customHeight="1">
      <x:c r="A2" s="1" t="s">
        <x:v>9</x:v>
      </x:c>
      <x:c r="B2" s="1" t="s">
        <x:v>10</x:v>
      </x:c>
      <x:c r="C2" s="1" t="s">
        <x:v>11</x:v>
      </x:c>
      <x:c r="D2" s="1" t="s">
        <x:v>12</x:v>
      </x:c>
      <x:c r="E2" s="1" t="s">
        <x:v>13</x:v>
      </x:c>
      <x:c r="F2" s="1" t="s">
        <x:v>14</x:v>
      </x:c>
      <x:c r="G2" s="3" t="n">
        <x:v>2019</x:v>
      </x:c>
      <x:c r="H2" s="4" t="n">
        <x:v>2</x:v>
      </x:c>
      <x:c r="I2" s="5" t="n">
        <x:v>311</x:v>
      </x:c>
    </x:row>
    <x:row r="3" ht="15" hidden="0" customHeight="1">
      <x:c r="A3" s="1" t="s">
        <x:v>9</x:v>
      </x:c>
      <x:c r="B3" s="1" t="s">
        <x:v>10</x:v>
      </x:c>
      <x:c r="C3" s="1" t="s">
        <x:v>11</x:v>
      </x:c>
      <x:c r="D3" s="1" t="s">
        <x:v>12</x:v>
      </x:c>
      <x:c r="E3" s="1" t="s">
        <x:v>15</x:v>
      </x:c>
      <x:c r="F3" s="1" t="s">
        <x:v>16</x:v>
      </x:c>
      <x:c r="G3" s="3" t="n">
        <x:v>2019</x:v>
      </x:c>
      <x:c r="H3" s="4" t="n">
        <x:v>3</x:v>
      </x:c>
      <x:c r="I3" s="5" t="n">
        <x:v>1821</x:v>
      </x:c>
    </x:row>
    <x:row r="4" ht="15" hidden="0" customHeight="1">
      <x:c r="A4" s="1" t="s">
        <x:v>9</x:v>
      </x:c>
      <x:c r="B4" s="1" t="s">
        <x:v>10</x:v>
      </x:c>
      <x:c r="C4" s="1" t="s">
        <x:v>11</x:v>
      </x:c>
      <x:c r="D4" s="1" t="s">
        <x:v>12</x:v>
      </x:c>
      <x:c r="E4" s="1" t="s">
        <x:v>17</x:v>
      </x:c>
      <x:c r="F4" s="1" t="s">
        <x:v>18</x:v>
      </x:c>
      <x:c r="G4" s="3" t="n">
        <x:v>2019</x:v>
      </x:c>
      <x:c r="H4" s="4" t="n">
        <x:v>12587</x:v>
      </x:c>
      <x:c r="I4" s="5" t="n">
        <x:v>2249137</x:v>
      </x:c>
    </x:row>
    <x:row r="5" ht="15" hidden="0" customHeight="1">
      <x:c r="A5" s="1" t="s">
        <x:v>9</x:v>
      </x:c>
      <x:c r="B5" s="1" t="s">
        <x:v>10</x:v>
      </x:c>
      <x:c r="C5" s="1" t="s">
        <x:v>11</x:v>
      </x:c>
      <x:c r="D5" s="1" t="s">
        <x:v>12</x:v>
      </x:c>
      <x:c r="E5" s="1" t="s">
        <x:v>19</x:v>
      </x:c>
      <x:c r="F5" s="1" t="s">
        <x:v>20</x:v>
      </x:c>
      <x:c r="G5" s="3" t="n">
        <x:v>2019</x:v>
      </x:c>
      <x:c r="H5" s="4" t="n">
        <x:v>70</x:v>
      </x:c>
      <x:c r="I5" s="5" t="n">
        <x:v>147892</x:v>
      </x:c>
    </x:row>
    <x:row r="6" ht="15" hidden="0" customHeight="1">
      <x:c r="A6" s="1" t="s">
        <x:v>9</x:v>
      </x:c>
      <x:c r="B6" s="1" t="s">
        <x:v>10</x:v>
      </x:c>
      <x:c r="C6" s="1" t="s">
        <x:v>11</x:v>
      </x:c>
      <x:c r="D6" s="1" t="s">
        <x:v>12</x:v>
      </x:c>
      <x:c r="E6" s="1" t="s">
        <x:v>21</x:v>
      </x:c>
      <x:c r="F6" s="1" t="s">
        <x:v>22</x:v>
      </x:c>
      <x:c r="G6" s="3" t="n">
        <x:v>2019</x:v>
      </x:c>
      <x:c r="H6" s="4" t="n">
        <x:v>333</x:v>
      </x:c>
      <x:c r="I6" s="5" t="n">
        <x:v>48763</x:v>
      </x:c>
    </x:row>
    <x:row r="7" ht="15" hidden="0" customHeight="1">
      <x:c r="A7" s="1" t="s">
        <x:v>9</x:v>
      </x:c>
      <x:c r="B7" s="1" t="s">
        <x:v>10</x:v>
      </x:c>
      <x:c r="C7" s="1" t="s">
        <x:v>11</x:v>
      </x:c>
      <x:c r="D7" s="1" t="s">
        <x:v>12</x:v>
      </x:c>
      <x:c r="E7" s="1" t="s">
        <x:v>23</x:v>
      </x:c>
      <x:c r="F7" s="1" t="s">
        <x:v>24</x:v>
      </x:c>
      <x:c r="G7" s="3" t="n">
        <x:v>2019</x:v>
      </x:c>
      <x:c r="H7" s="4" t="n">
        <x:v>200</x:v>
      </x:c>
      <x:c r="I7" s="5" t="n">
        <x:v>26143</x:v>
      </x:c>
    </x:row>
    <x:row r="8" ht="15" hidden="0" customHeight="1">
      <x:c r="A8" s="1" t="s">
        <x:v>9</x:v>
      </x:c>
      <x:c r="B8" s="1" t="s">
        <x:v>10</x:v>
      </x:c>
      <x:c r="C8" s="1" t="s">
        <x:v>11</x:v>
      </x:c>
      <x:c r="D8" s="1" t="s">
        <x:v>12</x:v>
      </x:c>
      <x:c r="E8" s="1" t="s">
        <x:v>25</x:v>
      </x:c>
      <x:c r="F8" s="1" t="s">
        <x:v>26</x:v>
      </x:c>
      <x:c r="G8" s="3" t="n">
        <x:v>2019</x:v>
      </x:c>
      <x:c r="H8" s="4" t="n">
        <x:v>25</x:v>
      </x:c>
      <x:c r="I8" s="5" t="n">
        <x:v>3556</x:v>
      </x:c>
    </x:row>
    <x:row r="9" ht="15" hidden="0" customHeight="1">
      <x:c r="A9" s="1" t="s">
        <x:v>9</x:v>
      </x:c>
      <x:c r="B9" s="1" t="s">
        <x:v>10</x:v>
      </x:c>
      <x:c r="C9" s="1" t="s">
        <x:v>11</x:v>
      </x:c>
      <x:c r="D9" s="1" t="s">
        <x:v>12</x:v>
      </x:c>
      <x:c r="E9" s="1" t="s">
        <x:v>27</x:v>
      </x:c>
      <x:c r="F9" s="1" t="s">
        <x:v>28</x:v>
      </x:c>
      <x:c r="G9" s="3" t="n">
        <x:v>2019</x:v>
      </x:c>
      <x:c r="H9" s="4" t="n">
        <x:v>55</x:v>
      </x:c>
      <x:c r="I9" s="5" t="n">
        <x:v>21338</x:v>
      </x:c>
    </x:row>
    <x:row r="10" ht="15" hidden="0" customHeight="1">
      <x:c r="A10" s="1" t="s">
        <x:v>9</x:v>
      </x:c>
      <x:c r="B10" s="1" t="s">
        <x:v>10</x:v>
      </x:c>
      <x:c r="C10" s="1" t="s">
        <x:v>11</x:v>
      </x:c>
      <x:c r="D10" s="1" t="s">
        <x:v>12</x:v>
      </x:c>
      <x:c r="E10" s="1" t="s">
        <x:v>29</x:v>
      </x:c>
      <x:c r="F10" s="1" t="s">
        <x:v>30</x:v>
      </x:c>
      <x:c r="G10" s="3" t="n">
        <x:v>2019</x:v>
      </x:c>
      <x:c r="H10" s="4" t="n">
        <x:v>12700</x:v>
      </x:c>
      <x:c r="I10" s="5" t="n">
        <x:v>1666316</x:v>
      </x:c>
    </x:row>
    <x:row r="11" ht="15" hidden="0" customHeight="1">
      <x:c r="A11" s="1" t="s">
        <x:v>9</x:v>
      </x:c>
      <x:c r="B11" s="1" t="s">
        <x:v>10</x:v>
      </x:c>
      <x:c r="C11" s="1" t="s">
        <x:v>11</x:v>
      </x:c>
      <x:c r="D11" s="1" t="s">
        <x:v>12</x:v>
      </x:c>
      <x:c r="E11" s="1" t="s">
        <x:v>31</x:v>
      </x:c>
      <x:c r="F11" s="1" t="s">
        <x:v>32</x:v>
      </x:c>
      <x:c r="G11" s="3" t="n">
        <x:v>2019</x:v>
      </x:c>
      <x:c r="H11" s="4" t="n">
        <x:v>450</x:v>
      </x:c>
      <x:c r="I11" s="5" t="n">
        <x:v>48063</x:v>
      </x:c>
    </x:row>
    <x:row r="12" ht="15" hidden="0" customHeight="1">
      <x:c r="A12" s="1" t="s">
        <x:v>9</x:v>
      </x:c>
      <x:c r="B12" s="1" t="s">
        <x:v>10</x:v>
      </x:c>
      <x:c r="C12" s="1" t="s">
        <x:v>11</x:v>
      </x:c>
      <x:c r="D12" s="1" t="s">
        <x:v>12</x:v>
      </x:c>
      <x:c r="E12" s="1" t="s">
        <x:v>33</x:v>
      </x:c>
      <x:c r="F12" s="1" t="s">
        <x:v>34</x:v>
      </x:c>
      <x:c r="G12" s="3" t="n">
        <x:v>2019</x:v>
      </x:c>
      <x:c r="H12" s="4" t="n">
        <x:v>1235</x:v>
      </x:c>
      <x:c r="I12" s="5" t="n">
        <x:v>152805</x:v>
      </x:c>
    </x:row>
    <x:row r="13" ht="15" hidden="0" customHeight="1">
      <x:c r="A13" s="1" t="s">
        <x:v>9</x:v>
      </x:c>
      <x:c r="B13" s="1" t="s">
        <x:v>10</x:v>
      </x:c>
      <x:c r="C13" s="1" t="s">
        <x:v>11</x:v>
      </x:c>
      <x:c r="D13" s="1" t="s">
        <x:v>12</x:v>
      </x:c>
      <x:c r="E13" s="1" t="s">
        <x:v>35</x:v>
      </x:c>
      <x:c r="F13" s="1" t="s">
        <x:v>36</x:v>
      </x:c>
      <x:c r="G13" s="3" t="n">
        <x:v>2019</x:v>
      </x:c>
      <x:c r="H13" s="4" t="n">
        <x:v>3033</x:v>
      </x:c>
      <x:c r="I13" s="5" t="n">
        <x:v>404666</x:v>
      </x:c>
    </x:row>
    <x:row r="14" ht="15" hidden="0" customHeight="1">
      <x:c r="A14" s="1" t="s">
        <x:v>9</x:v>
      </x:c>
      <x:c r="B14" s="1" t="s">
        <x:v>10</x:v>
      </x:c>
      <x:c r="C14" s="1" t="s">
        <x:v>11</x:v>
      </x:c>
      <x:c r="D14" s="1" t="s">
        <x:v>12</x:v>
      </x:c>
      <x:c r="E14" s="1" t="s">
        <x:v>37</x:v>
      </x:c>
      <x:c r="F14" s="1" t="s">
        <x:v>38</x:v>
      </x:c>
      <x:c r="G14" s="3" t="n">
        <x:v>2019</x:v>
      </x:c>
      <x:c r="H14" s="4" t="n">
        <x:v>30693</x:v>
      </x:c>
      <x:c r="I14" s="5" t="n">
        <x:v>4770811</x:v>
      </x:c>
    </x:row>
    <x:row r="15" ht="15" hidden="0" customHeight="1">
      <x:c r="A15" s="1" t="s">
        <x:v>9</x:v>
      </x:c>
      <x:c r="B15" s="1" t="s">
        <x:v>10</x:v>
      </x:c>
      <x:c r="C15" s="1" t="s">
        <x:v>11</x:v>
      </x:c>
      <x:c r="D15" s="1" t="s">
        <x:v>12</x:v>
      </x:c>
      <x:c r="E15" s="1" t="s">
        <x:v>13</x:v>
      </x:c>
      <x:c r="F15" s="1" t="s">
        <x:v>14</x:v>
      </x:c>
      <x:c r="G15" s="3" t="n">
        <x:v>2020</x:v>
      </x:c>
      <x:c r="H15" s="4" t="n">
        <x:v>0</x:v>
      </x:c>
      <x:c r="I15" s="5" t="n">
        <x:v>76</x:v>
      </x:c>
    </x:row>
    <x:row r="16" ht="15" hidden="0" customHeight="1">
      <x:c r="A16" s="1" t="s">
        <x:v>9</x:v>
      </x:c>
      <x:c r="B16" s="1" t="s">
        <x:v>10</x:v>
      </x:c>
      <x:c r="C16" s="1" t="s">
        <x:v>11</x:v>
      </x:c>
      <x:c r="D16" s="1" t="s">
        <x:v>12</x:v>
      </x:c>
      <x:c r="E16" s="1" t="s">
        <x:v>39</x:v>
      </x:c>
      <x:c r="F16" s="1" t="s">
        <x:v>40</x:v>
      </x:c>
      <x:c r="G16" s="3" t="n">
        <x:v>2020</x:v>
      </x:c>
      <x:c r="H16" s="4" t="n">
        <x:v>113</x:v>
      </x:c>
      <x:c r="I16" s="5" t="n">
        <x:v>24244</x:v>
      </x:c>
    </x:row>
    <x:row r="17" ht="15" hidden="0" customHeight="1">
      <x:c r="A17" s="1" t="s">
        <x:v>9</x:v>
      </x:c>
      <x:c r="B17" s="1" t="s">
        <x:v>10</x:v>
      </x:c>
      <x:c r="C17" s="1" t="s">
        <x:v>11</x:v>
      </x:c>
      <x:c r="D17" s="1" t="s">
        <x:v>12</x:v>
      </x:c>
      <x:c r="E17" s="1" t="s">
        <x:v>17</x:v>
      </x:c>
      <x:c r="F17" s="1" t="s">
        <x:v>18</x:v>
      </x:c>
      <x:c r="G17" s="3" t="n">
        <x:v>2020</x:v>
      </x:c>
      <x:c r="H17" s="4" t="n">
        <x:v>23677</x:v>
      </x:c>
      <x:c r="I17" s="5" t="n">
        <x:v>3790784</x:v>
      </x:c>
    </x:row>
    <x:row r="18" ht="15" hidden="0" customHeight="1">
      <x:c r="A18" s="1" t="s">
        <x:v>9</x:v>
      </x:c>
      <x:c r="B18" s="1" t="s">
        <x:v>10</x:v>
      </x:c>
      <x:c r="C18" s="1" t="s">
        <x:v>11</x:v>
      </x:c>
      <x:c r="D18" s="1" t="s">
        <x:v>12</x:v>
      </x:c>
      <x:c r="E18" s="1" t="s">
        <x:v>19</x:v>
      </x:c>
      <x:c r="F18" s="1" t="s">
        <x:v>20</x:v>
      </x:c>
      <x:c r="G18" s="3" t="n">
        <x:v>2020</x:v>
      </x:c>
      <x:c r="H18" s="4" t="n">
        <x:v>55</x:v>
      </x:c>
      <x:c r="I18" s="5" t="n">
        <x:v>105962</x:v>
      </x:c>
    </x:row>
    <x:row r="19" ht="15" hidden="0" customHeight="1">
      <x:c r="A19" s="1" t="s">
        <x:v>9</x:v>
      </x:c>
      <x:c r="B19" s="1" t="s">
        <x:v>10</x:v>
      </x:c>
      <x:c r="C19" s="1" t="s">
        <x:v>11</x:v>
      </x:c>
      <x:c r="D19" s="1" t="s">
        <x:v>12</x:v>
      </x:c>
      <x:c r="E19" s="1" t="s">
        <x:v>21</x:v>
      </x:c>
      <x:c r="F19" s="1" t="s">
        <x:v>22</x:v>
      </x:c>
      <x:c r="G19" s="3" t="n">
        <x:v>2020</x:v>
      </x:c>
      <x:c r="H19" s="4" t="n">
        <x:v>12</x:v>
      </x:c>
      <x:c r="I19" s="5" t="n">
        <x:v>7710</x:v>
      </x:c>
    </x:row>
    <x:row r="20" ht="15" hidden="0" customHeight="1">
      <x:c r="A20" s="1" t="s">
        <x:v>9</x:v>
      </x:c>
      <x:c r="B20" s="1" t="s">
        <x:v>10</x:v>
      </x:c>
      <x:c r="C20" s="1" t="s">
        <x:v>11</x:v>
      </x:c>
      <x:c r="D20" s="1" t="s">
        <x:v>12</x:v>
      </x:c>
      <x:c r="E20" s="1" t="s">
        <x:v>41</x:v>
      </x:c>
      <x:c r="F20" s="1" t="s">
        <x:v>42</x:v>
      </x:c>
      <x:c r="G20" s="3" t="n">
        <x:v>2020</x:v>
      </x:c>
      <x:c r="H20" s="4" t="n">
        <x:v>13</x:v>
      </x:c>
      <x:c r="I20" s="5" t="n">
        <x:v>8648</x:v>
      </x:c>
    </x:row>
    <x:row r="21" ht="15" hidden="0" customHeight="1">
      <x:c r="A21" s="1" t="s">
        <x:v>9</x:v>
      </x:c>
      <x:c r="B21" s="1" t="s">
        <x:v>10</x:v>
      </x:c>
      <x:c r="C21" s="1" t="s">
        <x:v>11</x:v>
      </x:c>
      <x:c r="D21" s="1" t="s">
        <x:v>12</x:v>
      </x:c>
      <x:c r="E21" s="1" t="s">
        <x:v>43</x:v>
      </x:c>
      <x:c r="F21" s="1" t="s">
        <x:v>44</x:v>
      </x:c>
      <x:c r="G21" s="3" t="n">
        <x:v>2020</x:v>
      </x:c>
      <x:c r="H21" s="4" t="n">
        <x:v>0</x:v>
      </x:c>
      <x:c r="I21" s="5" t="n">
        <x:v>154</x:v>
      </x:c>
    </x:row>
    <x:row r="22" ht="15" hidden="0" customHeight="1">
      <x:c r="A22" s="1" t="s">
        <x:v>9</x:v>
      </x:c>
      <x:c r="B22" s="1" t="s">
        <x:v>10</x:v>
      </x:c>
      <x:c r="C22" s="1" t="s">
        <x:v>11</x:v>
      </x:c>
      <x:c r="D22" s="1" t="s">
        <x:v>12</x:v>
      </x:c>
      <x:c r="E22" s="1" t="s">
        <x:v>45</x:v>
      </x:c>
      <x:c r="F22" s="1" t="s">
        <x:v>46</x:v>
      </x:c>
      <x:c r="G22" s="3" t="n">
        <x:v>2020</x:v>
      </x:c>
      <x:c r="H22" s="4" t="n">
        <x:v>1</x:v>
      </x:c>
      <x:c r="I22" s="5" t="n">
        <x:v>1867</x:v>
      </x:c>
    </x:row>
    <x:row r="23" ht="15" hidden="0" customHeight="1">
      <x:c r="A23" s="1" t="s">
        <x:v>9</x:v>
      </x:c>
      <x:c r="B23" s="1" t="s">
        <x:v>10</x:v>
      </x:c>
      <x:c r="C23" s="1" t="s">
        <x:v>11</x:v>
      </x:c>
      <x:c r="D23" s="1" t="s">
        <x:v>12</x:v>
      </x:c>
      <x:c r="E23" s="1" t="s">
        <x:v>47</x:v>
      </x:c>
      <x:c r="F23" s="1" t="s">
        <x:v>48</x:v>
      </x:c>
      <x:c r="G23" s="3" t="n">
        <x:v>2020</x:v>
      </x:c>
      <x:c r="H23" s="4" t="n">
        <x:v>247</x:v>
      </x:c>
      <x:c r="I23" s="5" t="n">
        <x:v>152358</x:v>
      </x:c>
    </x:row>
    <x:row r="24" ht="15" hidden="0" customHeight="1">
      <x:c r="A24" s="1" t="s">
        <x:v>9</x:v>
      </x:c>
      <x:c r="B24" s="1" t="s">
        <x:v>10</x:v>
      </x:c>
      <x:c r="C24" s="1" t="s">
        <x:v>11</x:v>
      </x:c>
      <x:c r="D24" s="1" t="s">
        <x:v>12</x:v>
      </x:c>
      <x:c r="E24" s="1" t="s">
        <x:v>49</x:v>
      </x:c>
      <x:c r="F24" s="1" t="s">
        <x:v>50</x:v>
      </x:c>
      <x:c r="G24" s="3" t="n">
        <x:v>2020</x:v>
      </x:c>
      <x:c r="H24" s="4" t="n">
        <x:v>9</x:v>
      </x:c>
      <x:c r="I24" s="5" t="n">
        <x:v>979</x:v>
      </x:c>
    </x:row>
    <x:row r="25" ht="15" hidden="0" customHeight="1">
      <x:c r="A25" s="1" t="s">
        <x:v>9</x:v>
      </x:c>
      <x:c r="B25" s="1" t="s">
        <x:v>10</x:v>
      </x:c>
      <x:c r="C25" s="1" t="s">
        <x:v>11</x:v>
      </x:c>
      <x:c r="D25" s="1" t="s">
        <x:v>12</x:v>
      </x:c>
      <x:c r="E25" s="1" t="s">
        <x:v>23</x:v>
      </x:c>
      <x:c r="F25" s="1" t="s">
        <x:v>24</x:v>
      </x:c>
      <x:c r="G25" s="3" t="n">
        <x:v>2020</x:v>
      </x:c>
      <x:c r="H25" s="4" t="n">
        <x:v>90</x:v>
      </x:c>
      <x:c r="I25" s="5" t="n">
        <x:v>14087</x:v>
      </x:c>
    </x:row>
    <x:row r="26" ht="15" hidden="0" customHeight="1">
      <x:c r="A26" s="1" t="s">
        <x:v>9</x:v>
      </x:c>
      <x:c r="B26" s="1" t="s">
        <x:v>10</x:v>
      </x:c>
      <x:c r="C26" s="1" t="s">
        <x:v>11</x:v>
      </x:c>
      <x:c r="D26" s="1" t="s">
        <x:v>12</x:v>
      </x:c>
      <x:c r="E26" s="1" t="s">
        <x:v>51</x:v>
      </x:c>
      <x:c r="F26" s="1" t="s">
        <x:v>52</x:v>
      </x:c>
      <x:c r="G26" s="3" t="n">
        <x:v>2020</x:v>
      </x:c>
      <x:c r="H26" s="4" t="n">
        <x:v>0</x:v>
      </x:c>
      <x:c r="I26" s="5" t="n">
        <x:v>18</x:v>
      </x:c>
    </x:row>
    <x:row r="27" ht="15" hidden="0" customHeight="1">
      <x:c r="A27" s="1" t="s">
        <x:v>9</x:v>
      </x:c>
      <x:c r="B27" s="1" t="s">
        <x:v>10</x:v>
      </x:c>
      <x:c r="C27" s="1" t="s">
        <x:v>11</x:v>
      </x:c>
      <x:c r="D27" s="1" t="s">
        <x:v>12</x:v>
      </x:c>
      <x:c r="E27" s="1" t="s">
        <x:v>25</x:v>
      </x:c>
      <x:c r="F27" s="1" t="s">
        <x:v>26</x:v>
      </x:c>
      <x:c r="G27" s="3" t="n">
        <x:v>2020</x:v>
      </x:c>
      <x:c r="H27" s="4" t="n">
        <x:v>7</x:v>
      </x:c>
      <x:c r="I27" s="5" t="n">
        <x:v>1276</x:v>
      </x:c>
    </x:row>
    <x:row r="28" ht="15" hidden="0" customHeight="1">
      <x:c r="A28" s="1" t="s">
        <x:v>9</x:v>
      </x:c>
      <x:c r="B28" s="1" t="s">
        <x:v>10</x:v>
      </x:c>
      <x:c r="C28" s="1" t="s">
        <x:v>11</x:v>
      </x:c>
      <x:c r="D28" s="1" t="s">
        <x:v>12</x:v>
      </x:c>
      <x:c r="E28" s="1" t="s">
        <x:v>27</x:v>
      </x:c>
      <x:c r="F28" s="1" t="s">
        <x:v>28</x:v>
      </x:c>
      <x:c r="G28" s="3" t="n">
        <x:v>2020</x:v>
      </x:c>
      <x:c r="H28" s="4" t="n">
        <x:v>27</x:v>
      </x:c>
      <x:c r="I28" s="5" t="n">
        <x:v>2015</x:v>
      </x:c>
    </x:row>
    <x:row r="29" ht="15" hidden="0" customHeight="1">
      <x:c r="A29" s="1" t="s">
        <x:v>9</x:v>
      </x:c>
      <x:c r="B29" s="1" t="s">
        <x:v>10</x:v>
      </x:c>
      <x:c r="C29" s="1" t="s">
        <x:v>11</x:v>
      </x:c>
      <x:c r="D29" s="1" t="s">
        <x:v>12</x:v>
      </x:c>
      <x:c r="E29" s="1" t="s">
        <x:v>29</x:v>
      </x:c>
      <x:c r="F29" s="1" t="s">
        <x:v>30</x:v>
      </x:c>
      <x:c r="G29" s="3" t="n">
        <x:v>2020</x:v>
      </x:c>
      <x:c r="H29" s="4" t="n">
        <x:v>14500</x:v>
      </x:c>
      <x:c r="I29" s="5" t="n">
        <x:v>1850901</x:v>
      </x:c>
    </x:row>
    <x:row r="30" ht="15" hidden="0" customHeight="1">
      <x:c r="A30" s="1" t="s">
        <x:v>9</x:v>
      </x:c>
      <x:c r="B30" s="1" t="s">
        <x:v>10</x:v>
      </x:c>
      <x:c r="C30" s="1" t="s">
        <x:v>11</x:v>
      </x:c>
      <x:c r="D30" s="1" t="s">
        <x:v>12</x:v>
      </x:c>
      <x:c r="E30" s="1" t="s">
        <x:v>31</x:v>
      </x:c>
      <x:c r="F30" s="1" t="s">
        <x:v>32</x:v>
      </x:c>
      <x:c r="G30" s="3" t="n">
        <x:v>2020</x:v>
      </x:c>
      <x:c r="H30" s="4" t="n">
        <x:v>750</x:v>
      </x:c>
      <x:c r="I30" s="5" t="n">
        <x:v>80875</x:v>
      </x:c>
    </x:row>
    <x:row r="31" ht="15" hidden="0" customHeight="1">
      <x:c r="A31" s="1" t="s">
        <x:v>9</x:v>
      </x:c>
      <x:c r="B31" s="1" t="s">
        <x:v>10</x:v>
      </x:c>
      <x:c r="C31" s="1" t="s">
        <x:v>11</x:v>
      </x:c>
      <x:c r="D31" s="1" t="s">
        <x:v>12</x:v>
      </x:c>
      <x:c r="E31" s="1" t="s">
        <x:v>33</x:v>
      </x:c>
      <x:c r="F31" s="1" t="s">
        <x:v>34</x:v>
      </x:c>
      <x:c r="G31" s="3" t="n">
        <x:v>2020</x:v>
      </x:c>
      <x:c r="H31" s="4" t="n">
        <x:v>1098</x:v>
      </x:c>
      <x:c r="I31" s="5" t="n">
        <x:v>115496</x:v>
      </x:c>
    </x:row>
    <x:row r="32" ht="15" hidden="0" customHeight="1">
      <x:c r="A32" s="1" t="s">
        <x:v>9</x:v>
      </x:c>
      <x:c r="B32" s="1" t="s">
        <x:v>10</x:v>
      </x:c>
      <x:c r="C32" s="1" t="s">
        <x:v>11</x:v>
      </x:c>
      <x:c r="D32" s="1" t="s">
        <x:v>12</x:v>
      </x:c>
      <x:c r="E32" s="1" t="s">
        <x:v>35</x:v>
      </x:c>
      <x:c r="F32" s="1" t="s">
        <x:v>36</x:v>
      </x:c>
      <x:c r="G32" s="3" t="n">
        <x:v>2020</x:v>
      </x:c>
      <x:c r="H32" s="4" t="n">
        <x:v>462</x:v>
      </x:c>
      <x:c r="I32" s="5" t="n">
        <x:v>346878</x:v>
      </x:c>
    </x:row>
    <x:row r="33" ht="15" hidden="0" customHeight="1">
      <x:c r="A33" s="1" t="s">
        <x:v>9</x:v>
      </x:c>
      <x:c r="B33" s="1" t="s">
        <x:v>10</x:v>
      </x:c>
      <x:c r="C33" s="1" t="s">
        <x:v>11</x:v>
      </x:c>
      <x:c r="D33" s="1" t="s">
        <x:v>12</x:v>
      </x:c>
      <x:c r="E33" s="1" t="s">
        <x:v>37</x:v>
      </x:c>
      <x:c r="F33" s="1" t="s">
        <x:v>38</x:v>
      </x:c>
      <x:c r="G33" s="3" t="n">
        <x:v>2020</x:v>
      </x:c>
      <x:c r="H33" s="4" t="n">
        <x:v>41066</x:v>
      </x:c>
      <x:c r="I33" s="5" t="n">
        <x:v>6507489</x:v>
      </x:c>
    </x:row>
    <x:row r="34" ht="15" hidden="0" customHeight="1">
      <x:c r="A34" s="1" t="s">
        <x:v>9</x:v>
      </x:c>
      <x:c r="B34" s="1" t="s">
        <x:v>10</x:v>
      </x:c>
      <x:c r="C34" s="1" t="s">
        <x:v>11</x:v>
      </x:c>
      <x:c r="D34" s="1" t="s">
        <x:v>12</x:v>
      </x:c>
      <x:c r="E34" s="1" t="s">
        <x:v>53</x:v>
      </x:c>
      <x:c r="F34" s="1" t="s">
        <x:v>54</x:v>
      </x:c>
      <x:c r="G34" s="3" t="n">
        <x:v>2020</x:v>
      </x:c>
      <x:c r="H34" s="4" t="n">
        <x:v>5</x:v>
      </x:c>
      <x:c r="I34" s="5" t="n">
        <x:v>3161</x:v>
      </x:c>
    </x:row>
    <x:row r="35" ht="15" hidden="0" customHeight="1">
      <x:c r="A35" s="1" t="s">
        <x:v>9</x:v>
      </x:c>
      <x:c r="B35" s="1" t="s">
        <x:v>10</x:v>
      </x:c>
      <x:c r="C35" s="1" t="s">
        <x:v>11</x:v>
      </x:c>
      <x:c r="D35" s="1" t="s">
        <x:v>12</x:v>
      </x:c>
      <x:c r="E35" s="1" t="s">
        <x:v>55</x:v>
      </x:c>
      <x:c r="F35" s="1" t="s">
        <x:v>56</x:v>
      </x:c>
      <x:c r="G35" s="3" t="n">
        <x:v>2021</x:v>
      </x:c>
      <x:c r="H35" s="4" t="n">
        <x:v>1</x:v>
      </x:c>
      <x:c r="I35" s="5" t="n">
        <x:v>159</x:v>
      </x:c>
    </x:row>
    <x:row r="36" ht="15" hidden="0" customHeight="1">
      <x:c r="A36" s="1" t="s">
        <x:v>9</x:v>
      </x:c>
      <x:c r="B36" s="1" t="s">
        <x:v>10</x:v>
      </x:c>
      <x:c r="C36" s="1" t="s">
        <x:v>11</x:v>
      </x:c>
      <x:c r="D36" s="1" t="s">
        <x:v>12</x:v>
      </x:c>
      <x:c r="E36" s="1" t="s">
        <x:v>13</x:v>
      </x:c>
      <x:c r="F36" s="1" t="s">
        <x:v>14</x:v>
      </x:c>
      <x:c r="G36" s="3" t="n">
        <x:v>2021</x:v>
      </x:c>
      <x:c r="H36" s="4" t="n">
        <x:v>2</x:v>
      </x:c>
      <x:c r="I36" s="5" t="n">
        <x:v>450</x:v>
      </x:c>
    </x:row>
    <x:row r="37" ht="15" hidden="0" customHeight="1">
      <x:c r="A37" s="1" t="s">
        <x:v>9</x:v>
      </x:c>
      <x:c r="B37" s="1" t="s">
        <x:v>10</x:v>
      </x:c>
      <x:c r="C37" s="1" t="s">
        <x:v>11</x:v>
      </x:c>
      <x:c r="D37" s="1" t="s">
        <x:v>12</x:v>
      </x:c>
      <x:c r="E37" s="1" t="s">
        <x:v>39</x:v>
      </x:c>
      <x:c r="F37" s="1" t="s">
        <x:v>40</x:v>
      </x:c>
      <x:c r="G37" s="3" t="n">
        <x:v>2021</x:v>
      </x:c>
      <x:c r="H37" s="4" t="n">
        <x:v>5008</x:v>
      </x:c>
      <x:c r="I37" s="5" t="n">
        <x:v>792978</x:v>
      </x:c>
    </x:row>
    <x:row r="38" ht="15" hidden="0" customHeight="1">
      <x:c r="A38" s="1" t="s">
        <x:v>9</x:v>
      </x:c>
      <x:c r="B38" s="1" t="s">
        <x:v>10</x:v>
      </x:c>
      <x:c r="C38" s="1" t="s">
        <x:v>11</x:v>
      </x:c>
      <x:c r="D38" s="1" t="s">
        <x:v>12</x:v>
      </x:c>
      <x:c r="E38" s="1" t="s">
        <x:v>17</x:v>
      </x:c>
      <x:c r="F38" s="1" t="s">
        <x:v>18</x:v>
      </x:c>
      <x:c r="G38" s="3" t="n">
        <x:v>2021</x:v>
      </x:c>
      <x:c r="H38" s="4" t="n">
        <x:v>28148</x:v>
      </x:c>
      <x:c r="I38" s="5" t="n">
        <x:v>4338402</x:v>
      </x:c>
    </x:row>
    <x:row r="39" ht="15" hidden="0" customHeight="1">
      <x:c r="A39" s="1" t="s">
        <x:v>9</x:v>
      </x:c>
      <x:c r="B39" s="1" t="s">
        <x:v>10</x:v>
      </x:c>
      <x:c r="C39" s="1" t="s">
        <x:v>11</x:v>
      </x:c>
      <x:c r="D39" s="1" t="s">
        <x:v>12</x:v>
      </x:c>
      <x:c r="E39" s="1" t="s">
        <x:v>19</x:v>
      </x:c>
      <x:c r="F39" s="1" t="s">
        <x:v>20</x:v>
      </x:c>
      <x:c r="G39" s="3" t="n">
        <x:v>2021</x:v>
      </x:c>
      <x:c r="H39" s="4" t="n">
        <x:v>7</x:v>
      </x:c>
      <x:c r="I39" s="5" t="n">
        <x:v>3568</x:v>
      </x:c>
    </x:row>
    <x:row r="40" ht="15" hidden="0" customHeight="1">
      <x:c r="A40" s="1" t="s">
        <x:v>9</x:v>
      </x:c>
      <x:c r="B40" s="1" t="s">
        <x:v>10</x:v>
      </x:c>
      <x:c r="C40" s="1" t="s">
        <x:v>11</x:v>
      </x:c>
      <x:c r="D40" s="1" t="s">
        <x:v>12</x:v>
      </x:c>
      <x:c r="E40" s="1" t="s">
        <x:v>21</x:v>
      </x:c>
      <x:c r="F40" s="1" t="s">
        <x:v>22</x:v>
      </x:c>
      <x:c r="G40" s="3" t="n">
        <x:v>2021</x:v>
      </x:c>
      <x:c r="H40" s="4" t="n">
        <x:v>25</x:v>
      </x:c>
      <x:c r="I40" s="5" t="n">
        <x:v>28471</x:v>
      </x:c>
    </x:row>
    <x:row r="41" ht="15" hidden="0" customHeight="1">
      <x:c r="A41" s="1" t="s">
        <x:v>9</x:v>
      </x:c>
      <x:c r="B41" s="1" t="s">
        <x:v>10</x:v>
      </x:c>
      <x:c r="C41" s="1" t="s">
        <x:v>11</x:v>
      </x:c>
      <x:c r="D41" s="1" t="s">
        <x:v>12</x:v>
      </x:c>
      <x:c r="E41" s="1" t="s">
        <x:v>57</x:v>
      </x:c>
      <x:c r="F41" s="1" t="s">
        <x:v>58</x:v>
      </x:c>
      <x:c r="G41" s="3" t="n">
        <x:v>2021</x:v>
      </x:c>
      <x:c r="H41" s="4" t="n">
        <x:v>4</x:v>
      </x:c>
      <x:c r="I41" s="5" t="n">
        <x:v>7000</x:v>
      </x:c>
    </x:row>
    <x:row r="42" ht="15" hidden="0" customHeight="1">
      <x:c r="A42" s="1" t="s">
        <x:v>9</x:v>
      </x:c>
      <x:c r="B42" s="1" t="s">
        <x:v>10</x:v>
      </x:c>
      <x:c r="C42" s="1" t="s">
        <x:v>11</x:v>
      </x:c>
      <x:c r="D42" s="1" t="s">
        <x:v>12</x:v>
      </x:c>
      <x:c r="E42" s="1" t="s">
        <x:v>45</x:v>
      </x:c>
      <x:c r="F42" s="1" t="s">
        <x:v>46</x:v>
      </x:c>
      <x:c r="G42" s="3" t="n">
        <x:v>2021</x:v>
      </x:c>
      <x:c r="H42" s="4" t="n">
        <x:v>101</x:v>
      </x:c>
      <x:c r="I42" s="5" t="n">
        <x:v>27834</x:v>
      </x:c>
    </x:row>
    <x:row r="43" ht="15" hidden="0" customHeight="1">
      <x:c r="A43" s="1" t="s">
        <x:v>9</x:v>
      </x:c>
      <x:c r="B43" s="1" t="s">
        <x:v>10</x:v>
      </x:c>
      <x:c r="C43" s="1" t="s">
        <x:v>11</x:v>
      </x:c>
      <x:c r="D43" s="1" t="s">
        <x:v>12</x:v>
      </x:c>
      <x:c r="E43" s="1" t="s">
        <x:v>59</x:v>
      </x:c>
      <x:c r="F43" s="1" t="s">
        <x:v>60</x:v>
      </x:c>
      <x:c r="G43" s="3" t="n">
        <x:v>2021</x:v>
      </x:c>
      <x:c r="H43" s="4" t="n">
        <x:v>1744</x:v>
      </x:c>
      <x:c r="I43" s="5" t="n">
        <x:v>443472</x:v>
      </x:c>
    </x:row>
    <x:row r="44" ht="15" hidden="0" customHeight="1">
      <x:c r="A44" s="1" t="s">
        <x:v>9</x:v>
      </x:c>
      <x:c r="B44" s="1" t="s">
        <x:v>10</x:v>
      </x:c>
      <x:c r="C44" s="1" t="s">
        <x:v>11</x:v>
      </x:c>
      <x:c r="D44" s="1" t="s">
        <x:v>12</x:v>
      </x:c>
      <x:c r="E44" s="1" t="s">
        <x:v>51</x:v>
      </x:c>
      <x:c r="F44" s="1" t="s">
        <x:v>52</x:v>
      </x:c>
      <x:c r="G44" s="3" t="n">
        <x:v>2021</x:v>
      </x:c>
      <x:c r="H44" s="4" t="n">
        <x:v>182</x:v>
      </x:c>
      <x:c r="I44" s="5" t="n">
        <x:v>34599</x:v>
      </x:c>
    </x:row>
    <x:row r="45" ht="15" hidden="0" customHeight="1">
      <x:c r="A45" s="1" t="s">
        <x:v>9</x:v>
      </x:c>
      <x:c r="B45" s="1" t="s">
        <x:v>10</x:v>
      </x:c>
      <x:c r="C45" s="1" t="s">
        <x:v>11</x:v>
      </x:c>
      <x:c r="D45" s="1" t="s">
        <x:v>12</x:v>
      </x:c>
      <x:c r="E45" s="1" t="s">
        <x:v>25</x:v>
      </x:c>
      <x:c r="F45" s="1" t="s">
        <x:v>26</x:v>
      </x:c>
      <x:c r="G45" s="3" t="n">
        <x:v>2021</x:v>
      </x:c>
      <x:c r="H45" s="4" t="n">
        <x:v>982</x:v>
      </x:c>
      <x:c r="I45" s="5" t="n">
        <x:v>94916</x:v>
      </x:c>
    </x:row>
    <x:row r="46" ht="15" hidden="0" customHeight="1">
      <x:c r="A46" s="1" t="s">
        <x:v>9</x:v>
      </x:c>
      <x:c r="B46" s="1" t="s">
        <x:v>10</x:v>
      </x:c>
      <x:c r="C46" s="1" t="s">
        <x:v>11</x:v>
      </x:c>
      <x:c r="D46" s="1" t="s">
        <x:v>12</x:v>
      </x:c>
      <x:c r="E46" s="1" t="s">
        <x:v>29</x:v>
      </x:c>
      <x:c r="F46" s="1" t="s">
        <x:v>30</x:v>
      </x:c>
      <x:c r="G46" s="3" t="n">
        <x:v>2021</x:v>
      </x:c>
      <x:c r="H46" s="4" t="n">
        <x:v>20607</x:v>
      </x:c>
      <x:c r="I46" s="5" t="n">
        <x:v>2490571</x:v>
      </x:c>
    </x:row>
    <x:row r="47" ht="15" hidden="0" customHeight="1">
      <x:c r="A47" s="1" t="s">
        <x:v>9</x:v>
      </x:c>
      <x:c r="B47" s="1" t="s">
        <x:v>10</x:v>
      </x:c>
      <x:c r="C47" s="1" t="s">
        <x:v>11</x:v>
      </x:c>
      <x:c r="D47" s="1" t="s">
        <x:v>12</x:v>
      </x:c>
      <x:c r="E47" s="1" t="s">
        <x:v>33</x:v>
      </x:c>
      <x:c r="F47" s="1" t="s">
        <x:v>34</x:v>
      </x:c>
      <x:c r="G47" s="3" t="n">
        <x:v>2021</x:v>
      </x:c>
      <x:c r="H47" s="4" t="n">
        <x:v>840</x:v>
      </x:c>
      <x:c r="I47" s="5" t="n">
        <x:v>132387</x:v>
      </x:c>
    </x:row>
    <x:row r="48" ht="15" hidden="0" customHeight="1">
      <x:c r="A48" s="1" t="s">
        <x:v>9</x:v>
      </x:c>
      <x:c r="B48" s="1" t="s">
        <x:v>10</x:v>
      </x:c>
      <x:c r="C48" s="1" t="s">
        <x:v>11</x:v>
      </x:c>
      <x:c r="D48" s="1" t="s">
        <x:v>12</x:v>
      </x:c>
      <x:c r="E48" s="1" t="s">
        <x:v>35</x:v>
      </x:c>
      <x:c r="F48" s="1" t="s">
        <x:v>36</x:v>
      </x:c>
      <x:c r="G48" s="3" t="n">
        <x:v>2021</x:v>
      </x:c>
      <x:c r="H48" s="4" t="n">
        <x:v>92</x:v>
      </x:c>
      <x:c r="I48" s="5" t="n">
        <x:v>29131</x:v>
      </x:c>
    </x:row>
    <x:row r="49" ht="15" hidden="0" customHeight="1">
      <x:c r="A49" s="1" t="s">
        <x:v>9</x:v>
      </x:c>
      <x:c r="B49" s="1" t="s">
        <x:v>10</x:v>
      </x:c>
      <x:c r="C49" s="1" t="s">
        <x:v>11</x:v>
      </x:c>
      <x:c r="D49" s="1" t="s">
        <x:v>12</x:v>
      </x:c>
      <x:c r="E49" s="1" t="s">
        <x:v>37</x:v>
      </x:c>
      <x:c r="F49" s="1" t="s">
        <x:v>38</x:v>
      </x:c>
      <x:c r="G49" s="3" t="n">
        <x:v>2021</x:v>
      </x:c>
      <x:c r="H49" s="4" t="n">
        <x:v>57743</x:v>
      </x:c>
      <x:c r="I49" s="5" t="n">
        <x:v>8423938</x:v>
      </x:c>
    </x:row>
    <x:row r="50" ht="15" hidden="0" customHeight="1">
      <x:c r="A50" s="1" t="s">
        <x:v>9</x:v>
      </x:c>
      <x:c r="B50" s="1" t="s">
        <x:v>10</x:v>
      </x:c>
      <x:c r="C50" s="1" t="s">
        <x:v>11</x:v>
      </x:c>
      <x:c r="D50" s="1" t="s">
        <x:v>12</x:v>
      </x:c>
      <x:c r="E50" s="1" t="s">
        <x:v>13</x:v>
      </x:c>
      <x:c r="F50" s="1" t="s">
        <x:v>14</x:v>
      </x:c>
      <x:c r="G50" s="3" t="n">
        <x:v>2022</x:v>
      </x:c>
      <x:c r="H50" s="4" t="n">
        <x:v>90</x:v>
      </x:c>
      <x:c r="I50" s="5" t="n">
        <x:v>38405</x:v>
      </x:c>
    </x:row>
    <x:row r="51" ht="15" hidden="0" customHeight="1">
      <x:c r="A51" s="1" t="s">
        <x:v>9</x:v>
      </x:c>
      <x:c r="B51" s="1" t="s">
        <x:v>10</x:v>
      </x:c>
      <x:c r="C51" s="1" t="s">
        <x:v>11</x:v>
      </x:c>
      <x:c r="D51" s="1" t="s">
        <x:v>12</x:v>
      </x:c>
      <x:c r="E51" s="1" t="s">
        <x:v>39</x:v>
      </x:c>
      <x:c r="F51" s="1" t="s">
        <x:v>40</x:v>
      </x:c>
      <x:c r="G51" s="3" t="n">
        <x:v>2022</x:v>
      </x:c>
      <x:c r="H51" s="4" t="n">
        <x:v>600</x:v>
      </x:c>
      <x:c r="I51" s="5" t="n">
        <x:v>85975</x:v>
      </x:c>
    </x:row>
    <x:row r="52" ht="15" hidden="0" customHeight="1">
      <x:c r="A52" s="1" t="s">
        <x:v>9</x:v>
      </x:c>
      <x:c r="B52" s="1" t="s">
        <x:v>10</x:v>
      </x:c>
      <x:c r="C52" s="1" t="s">
        <x:v>11</x:v>
      </x:c>
      <x:c r="D52" s="1" t="s">
        <x:v>12</x:v>
      </x:c>
      <x:c r="E52" s="1" t="s">
        <x:v>17</x:v>
      </x:c>
      <x:c r="F52" s="1" t="s">
        <x:v>18</x:v>
      </x:c>
      <x:c r="G52" s="3" t="n">
        <x:v>2022</x:v>
      </x:c>
      <x:c r="H52" s="4" t="n">
        <x:v>25605</x:v>
      </x:c>
      <x:c r="I52" s="5" t="n">
        <x:v>6329627</x:v>
      </x:c>
    </x:row>
    <x:row r="53" ht="15" hidden="0" customHeight="1">
      <x:c r="A53" s="1" t="s">
        <x:v>9</x:v>
      </x:c>
      <x:c r="B53" s="1" t="s">
        <x:v>10</x:v>
      </x:c>
      <x:c r="C53" s="1" t="s">
        <x:v>11</x:v>
      </x:c>
      <x:c r="D53" s="1" t="s">
        <x:v>12</x:v>
      </x:c>
      <x:c r="E53" s="1" t="s">
        <x:v>19</x:v>
      </x:c>
      <x:c r="F53" s="1" t="s">
        <x:v>20</x:v>
      </x:c>
      <x:c r="G53" s="3" t="n">
        <x:v>2022</x:v>
      </x:c>
      <x:c r="H53" s="4" t="n">
        <x:v>36</x:v>
      </x:c>
      <x:c r="I53" s="5" t="n">
        <x:v>4479</x:v>
      </x:c>
    </x:row>
    <x:row r="54" ht="15" hidden="0" customHeight="1">
      <x:c r="A54" s="1" t="s">
        <x:v>9</x:v>
      </x:c>
      <x:c r="B54" s="1" t="s">
        <x:v>10</x:v>
      </x:c>
      <x:c r="C54" s="1" t="s">
        <x:v>11</x:v>
      </x:c>
      <x:c r="D54" s="1" t="s">
        <x:v>12</x:v>
      </x:c>
      <x:c r="E54" s="1" t="s">
        <x:v>21</x:v>
      </x:c>
      <x:c r="F54" s="1" t="s">
        <x:v>22</x:v>
      </x:c>
      <x:c r="G54" s="3" t="n">
        <x:v>2022</x:v>
      </x:c>
      <x:c r="H54" s="4" t="n">
        <x:v>18</x:v>
      </x:c>
      <x:c r="I54" s="5" t="n">
        <x:v>3040</x:v>
      </x:c>
    </x:row>
    <x:row r="55" ht="15" hidden="0" customHeight="1">
      <x:c r="A55" s="1" t="s">
        <x:v>9</x:v>
      </x:c>
      <x:c r="B55" s="1" t="s">
        <x:v>10</x:v>
      </x:c>
      <x:c r="C55" s="1" t="s">
        <x:v>11</x:v>
      </x:c>
      <x:c r="D55" s="1" t="s">
        <x:v>12</x:v>
      </x:c>
      <x:c r="E55" s="1" t="s">
        <x:v>45</x:v>
      </x:c>
      <x:c r="F55" s="1" t="s">
        <x:v>46</x:v>
      </x:c>
      <x:c r="G55" s="3" t="n">
        <x:v>2022</x:v>
      </x:c>
      <x:c r="H55" s="4" t="n">
        <x:v>0</x:v>
      </x:c>
      <x:c r="I55" s="5" t="n">
        <x:v>2658</x:v>
      </x:c>
    </x:row>
    <x:row r="56" ht="15" hidden="0" customHeight="1">
      <x:c r="A56" s="1" t="s">
        <x:v>9</x:v>
      </x:c>
      <x:c r="B56" s="1" t="s">
        <x:v>10</x:v>
      </x:c>
      <x:c r="C56" s="1" t="s">
        <x:v>11</x:v>
      </x:c>
      <x:c r="D56" s="1" t="s">
        <x:v>12</x:v>
      </x:c>
      <x:c r="E56" s="1" t="s">
        <x:v>49</x:v>
      </x:c>
      <x:c r="F56" s="1" t="s">
        <x:v>50</x:v>
      </x:c>
      <x:c r="G56" s="3" t="n">
        <x:v>2022</x:v>
      </x:c>
      <x:c r="H56" s="4" t="n">
        <x:v>41</x:v>
      </x:c>
      <x:c r="I56" s="5" t="n">
        <x:v>16356</x:v>
      </x:c>
    </x:row>
    <x:row r="57" ht="15" hidden="0" customHeight="1">
      <x:c r="A57" s="1" t="s">
        <x:v>9</x:v>
      </x:c>
      <x:c r="B57" s="1" t="s">
        <x:v>10</x:v>
      </x:c>
      <x:c r="C57" s="1" t="s">
        <x:v>11</x:v>
      </x:c>
      <x:c r="D57" s="1" t="s">
        <x:v>12</x:v>
      </x:c>
      <x:c r="E57" s="1" t="s">
        <x:v>23</x:v>
      </x:c>
      <x:c r="F57" s="1" t="s">
        <x:v>24</x:v>
      </x:c>
      <x:c r="G57" s="3" t="n">
        <x:v>2022</x:v>
      </x:c>
      <x:c r="H57" s="4" t="n">
        <x:v>130</x:v>
      </x:c>
      <x:c r="I57" s="5" t="n">
        <x:v>63756</x:v>
      </x:c>
    </x:row>
    <x:row r="58" ht="15" hidden="0" customHeight="1">
      <x:c r="A58" s="1" t="s">
        <x:v>9</x:v>
      </x:c>
      <x:c r="B58" s="1" t="s">
        <x:v>10</x:v>
      </x:c>
      <x:c r="C58" s="1" t="s">
        <x:v>11</x:v>
      </x:c>
      <x:c r="D58" s="1" t="s">
        <x:v>12</x:v>
      </x:c>
      <x:c r="E58" s="1" t="s">
        <x:v>59</x:v>
      </x:c>
      <x:c r="F58" s="1" t="s">
        <x:v>60</x:v>
      </x:c>
      <x:c r="G58" s="3" t="n">
        <x:v>2022</x:v>
      </x:c>
      <x:c r="H58" s="4" t="n">
        <x:v>944</x:v>
      </x:c>
      <x:c r="I58" s="5" t="n">
        <x:v>385509</x:v>
      </x:c>
    </x:row>
    <x:row r="59" ht="15" hidden="0" customHeight="1">
      <x:c r="A59" s="1" t="s">
        <x:v>9</x:v>
      </x:c>
      <x:c r="B59" s="1" t="s">
        <x:v>10</x:v>
      </x:c>
      <x:c r="C59" s="1" t="s">
        <x:v>11</x:v>
      </x:c>
      <x:c r="D59" s="1" t="s">
        <x:v>12</x:v>
      </x:c>
      <x:c r="E59" s="1" t="s">
        <x:v>25</x:v>
      </x:c>
      <x:c r="F59" s="1" t="s">
        <x:v>26</x:v>
      </x:c>
      <x:c r="G59" s="3" t="n">
        <x:v>2022</x:v>
      </x:c>
      <x:c r="H59" s="4" t="n">
        <x:v>561</x:v>
      </x:c>
      <x:c r="I59" s="5" t="n">
        <x:v>197879</x:v>
      </x:c>
    </x:row>
    <x:row r="60" ht="15" hidden="0" customHeight="1">
      <x:c r="A60" s="1" t="s">
        <x:v>9</x:v>
      </x:c>
      <x:c r="B60" s="1" t="s">
        <x:v>10</x:v>
      </x:c>
      <x:c r="C60" s="1" t="s">
        <x:v>11</x:v>
      </x:c>
      <x:c r="D60" s="1" t="s">
        <x:v>12</x:v>
      </x:c>
      <x:c r="E60" s="1" t="s">
        <x:v>29</x:v>
      </x:c>
      <x:c r="F60" s="1" t="s">
        <x:v>30</x:v>
      </x:c>
      <x:c r="G60" s="3" t="n">
        <x:v>2022</x:v>
      </x:c>
      <x:c r="H60" s="4" t="n">
        <x:v>20500</x:v>
      </x:c>
      <x:c r="I60" s="5" t="n">
        <x:v>2423848</x:v>
      </x:c>
    </x:row>
    <x:row r="61" ht="15" hidden="0" customHeight="1">
      <x:c r="A61" s="1" t="s">
        <x:v>9</x:v>
      </x:c>
      <x:c r="B61" s="1" t="s">
        <x:v>10</x:v>
      </x:c>
      <x:c r="C61" s="1" t="s">
        <x:v>11</x:v>
      </x:c>
      <x:c r="D61" s="1" t="s">
        <x:v>12</x:v>
      </x:c>
      <x:c r="E61" s="1" t="s">
        <x:v>35</x:v>
      </x:c>
      <x:c r="F61" s="1" t="s">
        <x:v>36</x:v>
      </x:c>
      <x:c r="G61" s="3" t="n">
        <x:v>2022</x:v>
      </x:c>
      <x:c r="H61" s="4" t="n">
        <x:v>913</x:v>
      </x:c>
      <x:c r="I61" s="5" t="n">
        <x:v>156518</x:v>
      </x:c>
    </x:row>
    <x:row r="62" ht="15" hidden="0" customHeight="1">
      <x:c r="A62" s="1" t="s">
        <x:v>9</x:v>
      </x:c>
      <x:c r="B62" s="1" t="s">
        <x:v>10</x:v>
      </x:c>
      <x:c r="C62" s="1" t="s">
        <x:v>11</x:v>
      </x:c>
      <x:c r="D62" s="1" t="s">
        <x:v>12</x:v>
      </x:c>
      <x:c r="E62" s="1" t="s">
        <x:v>37</x:v>
      </x:c>
      <x:c r="F62" s="1" t="s">
        <x:v>38</x:v>
      </x:c>
      <x:c r="G62" s="3" t="n">
        <x:v>2022</x:v>
      </x:c>
      <x:c r="H62" s="4" t="n">
        <x:v>49438</x:v>
      </x:c>
      <x:c r="I62" s="5" t="n">
        <x:v>9708050</x:v>
      </x:c>
    </x:row>
    <x:row r="63" ht="15" hidden="0" customHeight="1">
      <x:c r="A63" s="1" t="s">
        <x:v>9</x:v>
      </x:c>
      <x:c r="B63" s="1" t="s">
        <x:v>10</x:v>
      </x:c>
      <x:c r="C63" s="1" t="s">
        <x:v>11</x:v>
      </x:c>
      <x:c r="D63" s="1" t="s">
        <x:v>12</x:v>
      </x:c>
      <x:c r="E63" s="1" t="s">
        <x:v>55</x:v>
      </x:c>
      <x:c r="F63" s="1" t="s">
        <x:v>56</x:v>
      </x:c>
      <x:c r="G63" s="3" t="n">
        <x:v>2023</x:v>
      </x:c>
      <x:c r="H63" s="4" t="n">
        <x:v>1</x:v>
      </x:c>
      <x:c r="I63" s="5" t="n">
        <x:v>25000</x:v>
      </x:c>
    </x:row>
    <x:row r="64" ht="15" hidden="0" customHeight="1">
      <x:c r="A64" s="1" t="s">
        <x:v>9</x:v>
      </x:c>
      <x:c r="B64" s="1" t="s">
        <x:v>10</x:v>
      </x:c>
      <x:c r="C64" s="1" t="s">
        <x:v>11</x:v>
      </x:c>
      <x:c r="D64" s="1" t="s">
        <x:v>12</x:v>
      </x:c>
      <x:c r="E64" s="1" t="s">
        <x:v>13</x:v>
      </x:c>
      <x:c r="F64" s="1" t="s">
        <x:v>14</x:v>
      </x:c>
      <x:c r="G64" s="3" t="n">
        <x:v>2023</x:v>
      </x:c>
      <x:c r="H64" s="4" t="n">
        <x:v>0</x:v>
      </x:c>
      <x:c r="I64" s="5" t="n">
        <x:v>199</x:v>
      </x:c>
    </x:row>
    <x:row r="65" ht="15" hidden="0" customHeight="1">
      <x:c r="A65" s="1" t="s">
        <x:v>9</x:v>
      </x:c>
      <x:c r="B65" s="1" t="s">
        <x:v>10</x:v>
      </x:c>
      <x:c r="C65" s="1" t="s">
        <x:v>11</x:v>
      </x:c>
      <x:c r="D65" s="1" t="s">
        <x:v>12</x:v>
      </x:c>
      <x:c r="E65" s="1" t="s">
        <x:v>39</x:v>
      </x:c>
      <x:c r="F65" s="1" t="s">
        <x:v>40</x:v>
      </x:c>
      <x:c r="G65" s="3" t="n">
        <x:v>2023</x:v>
      </x:c>
      <x:c r="H65" s="4" t="n">
        <x:v>1055</x:v>
      </x:c>
      <x:c r="I65" s="5" t="n">
        <x:v>152403</x:v>
      </x:c>
    </x:row>
    <x:row r="66" ht="15" hidden="0" customHeight="1">
      <x:c r="A66" s="1" t="s">
        <x:v>9</x:v>
      </x:c>
      <x:c r="B66" s="1" t="s">
        <x:v>10</x:v>
      </x:c>
      <x:c r="C66" s="1" t="s">
        <x:v>11</x:v>
      </x:c>
      <x:c r="D66" s="1" t="s">
        <x:v>12</x:v>
      </x:c>
      <x:c r="E66" s="1" t="s">
        <x:v>17</x:v>
      </x:c>
      <x:c r="F66" s="1" t="s">
        <x:v>18</x:v>
      </x:c>
      <x:c r="G66" s="3" t="n">
        <x:v>2023</x:v>
      </x:c>
      <x:c r="H66" s="4" t="n">
        <x:v>6587</x:v>
      </x:c>
      <x:c r="I66" s="5" t="n">
        <x:v>1481512</x:v>
      </x:c>
    </x:row>
    <x:row r="67" ht="15" hidden="0" customHeight="1">
      <x:c r="A67" s="1" t="s">
        <x:v>9</x:v>
      </x:c>
      <x:c r="B67" s="1" t="s">
        <x:v>10</x:v>
      </x:c>
      <x:c r="C67" s="1" t="s">
        <x:v>11</x:v>
      </x:c>
      <x:c r="D67" s="1" t="s">
        <x:v>12</x:v>
      </x:c>
      <x:c r="E67" s="1" t="s">
        <x:v>19</x:v>
      </x:c>
      <x:c r="F67" s="1" t="s">
        <x:v>20</x:v>
      </x:c>
      <x:c r="G67" s="3" t="n">
        <x:v>2023</x:v>
      </x:c>
      <x:c r="H67" s="4" t="n">
        <x:v>2</x:v>
      </x:c>
      <x:c r="I67" s="5" t="n">
        <x:v>1002</x:v>
      </x:c>
    </x:row>
    <x:row r="68" ht="15" hidden="0" customHeight="1">
      <x:c r="A68" s="1" t="s">
        <x:v>9</x:v>
      </x:c>
      <x:c r="B68" s="1" t="s">
        <x:v>10</x:v>
      </x:c>
      <x:c r="C68" s="1" t="s">
        <x:v>11</x:v>
      </x:c>
      <x:c r="D68" s="1" t="s">
        <x:v>12</x:v>
      </x:c>
      <x:c r="E68" s="1" t="s">
        <x:v>21</x:v>
      </x:c>
      <x:c r="F68" s="1" t="s">
        <x:v>22</x:v>
      </x:c>
      <x:c r="G68" s="3" t="n">
        <x:v>2023</x:v>
      </x:c>
      <x:c r="H68" s="4" t="n">
        <x:v>15</x:v>
      </x:c>
      <x:c r="I68" s="5" t="n">
        <x:v>19886</x:v>
      </x:c>
    </x:row>
    <x:row r="69" ht="15" hidden="0" customHeight="1">
      <x:c r="A69" s="1" t="s">
        <x:v>9</x:v>
      </x:c>
      <x:c r="B69" s="1" t="s">
        <x:v>10</x:v>
      </x:c>
      <x:c r="C69" s="1" t="s">
        <x:v>11</x:v>
      </x:c>
      <x:c r="D69" s="1" t="s">
        <x:v>12</x:v>
      </x:c>
      <x:c r="E69" s="1" t="s">
        <x:v>57</x:v>
      </x:c>
      <x:c r="F69" s="1" t="s">
        <x:v>58</x:v>
      </x:c>
      <x:c r="G69" s="3" t="n">
        <x:v>2023</x:v>
      </x:c>
      <x:c r="H69" s="4" t="n">
        <x:v>150</x:v>
      </x:c>
      <x:c r="I69" s="5" t="n">
        <x:v>40747</x:v>
      </x:c>
    </x:row>
    <x:row r="70" ht="15" hidden="0" customHeight="1">
      <x:c r="A70" s="1" t="s">
        <x:v>9</x:v>
      </x:c>
      <x:c r="B70" s="1" t="s">
        <x:v>10</x:v>
      </x:c>
      <x:c r="C70" s="1" t="s">
        <x:v>11</x:v>
      </x:c>
      <x:c r="D70" s="1" t="s">
        <x:v>12</x:v>
      </x:c>
      <x:c r="E70" s="1" t="s">
        <x:v>45</x:v>
      </x:c>
      <x:c r="F70" s="1" t="s">
        <x:v>46</x:v>
      </x:c>
      <x:c r="G70" s="3" t="n">
        <x:v>2023</x:v>
      </x:c>
      <x:c r="H70" s="4" t="n">
        <x:v>20</x:v>
      </x:c>
      <x:c r="I70" s="5" t="n">
        <x:v>28995</x:v>
      </x:c>
    </x:row>
    <x:row r="71" ht="15" hidden="0" customHeight="1">
      <x:c r="A71" s="1" t="s">
        <x:v>9</x:v>
      </x:c>
      <x:c r="B71" s="1" t="s">
        <x:v>10</x:v>
      </x:c>
      <x:c r="C71" s="1" t="s">
        <x:v>11</x:v>
      </x:c>
      <x:c r="D71" s="1" t="s">
        <x:v>12</x:v>
      </x:c>
      <x:c r="E71" s="1" t="s">
        <x:v>59</x:v>
      </x:c>
      <x:c r="F71" s="1" t="s">
        <x:v>60</x:v>
      </x:c>
      <x:c r="G71" s="3" t="n">
        <x:v>2023</x:v>
      </x:c>
      <x:c r="H71" s="4" t="n">
        <x:v>820</x:v>
      </x:c>
      <x:c r="I71" s="5" t="n">
        <x:v>246668</x:v>
      </x:c>
    </x:row>
    <x:row r="72" ht="15" hidden="0" customHeight="1">
      <x:c r="A72" s="1" t="s">
        <x:v>9</x:v>
      </x:c>
      <x:c r="B72" s="1" t="s">
        <x:v>10</x:v>
      </x:c>
      <x:c r="C72" s="1" t="s">
        <x:v>11</x:v>
      </x:c>
      <x:c r="D72" s="1" t="s">
        <x:v>12</x:v>
      </x:c>
      <x:c r="E72" s="1" t="s">
        <x:v>25</x:v>
      </x:c>
      <x:c r="F72" s="1" t="s">
        <x:v>26</x:v>
      </x:c>
      <x:c r="G72" s="3" t="n">
        <x:v>2023</x:v>
      </x:c>
      <x:c r="H72" s="4" t="n">
        <x:v>1409</x:v>
      </x:c>
      <x:c r="I72" s="5" t="n">
        <x:v>139762</x:v>
      </x:c>
    </x:row>
    <x:row r="73" ht="15" hidden="0" customHeight="1">
      <x:c r="A73" s="1" t="s">
        <x:v>9</x:v>
      </x:c>
      <x:c r="B73" s="1" t="s">
        <x:v>10</x:v>
      </x:c>
      <x:c r="C73" s="1" t="s">
        <x:v>11</x:v>
      </x:c>
      <x:c r="D73" s="1" t="s">
        <x:v>12</x:v>
      </x:c>
      <x:c r="E73" s="1" t="s">
        <x:v>29</x:v>
      </x:c>
      <x:c r="F73" s="1" t="s">
        <x:v>30</x:v>
      </x:c>
      <x:c r="G73" s="3" t="n">
        <x:v>2023</x:v>
      </x:c>
      <x:c r="H73" s="4" t="n">
        <x:v>15000</x:v>
      </x:c>
      <x:c r="I73" s="5" t="n">
        <x:v>1601200</x:v>
      </x:c>
    </x:row>
    <x:row r="74" ht="15" hidden="0" customHeight="1">
      <x:c r="A74" s="1" t="s">
        <x:v>9</x:v>
      </x:c>
      <x:c r="B74" s="1" t="s">
        <x:v>10</x:v>
      </x:c>
      <x:c r="C74" s="1" t="s">
        <x:v>11</x:v>
      </x:c>
      <x:c r="D74" s="1" t="s">
        <x:v>12</x:v>
      </x:c>
      <x:c r="E74" s="1" t="s">
        <x:v>31</x:v>
      </x:c>
      <x:c r="F74" s="1" t="s">
        <x:v>32</x:v>
      </x:c>
      <x:c r="G74" s="3" t="n">
        <x:v>2023</x:v>
      </x:c>
      <x:c r="H74" s="4" t="n">
        <x:v>11</x:v>
      </x:c>
      <x:c r="I74" s="5" t="n">
        <x:v>5859</x:v>
      </x:c>
    </x:row>
    <x:row r="75" ht="15" hidden="0" customHeight="1">
      <x:c r="A75" s="1" t="s">
        <x:v>9</x:v>
      </x:c>
      <x:c r="B75" s="1" t="s">
        <x:v>10</x:v>
      </x:c>
      <x:c r="C75" s="1" t="s">
        <x:v>11</x:v>
      </x:c>
      <x:c r="D75" s="1" t="s">
        <x:v>12</x:v>
      </x:c>
      <x:c r="E75" s="1" t="s">
        <x:v>35</x:v>
      </x:c>
      <x:c r="F75" s="1" t="s">
        <x:v>36</x:v>
      </x:c>
      <x:c r="G75" s="3" t="n">
        <x:v>2023</x:v>
      </x:c>
      <x:c r="H75" s="4" t="n">
        <x:v>155</x:v>
      </x:c>
      <x:c r="I75" s="5" t="n">
        <x:v>131179</x:v>
      </x:c>
    </x:row>
    <x:row r="76" ht="15" hidden="0" customHeight="1">
      <x:c r="A76" s="1" t="s">
        <x:v>9</x:v>
      </x:c>
      <x:c r="B76" s="1" t="s">
        <x:v>10</x:v>
      </x:c>
      <x:c r="C76" s="1" t="s">
        <x:v>11</x:v>
      </x:c>
      <x:c r="D76" s="1" t="s">
        <x:v>12</x:v>
      </x:c>
      <x:c r="E76" s="1" t="s">
        <x:v>37</x:v>
      </x:c>
      <x:c r="F76" s="1" t="s">
        <x:v>38</x:v>
      </x:c>
      <x:c r="G76" s="3" t="n">
        <x:v>2023</x:v>
      </x:c>
      <x:c r="H76" s="4" t="n">
        <x:v>25225</x:v>
      </x:c>
      <x:c r="I76" s="5" t="n">
        <x:v>3874412</x:v>
      </x:c>
    </x:row>
    <x:row r="77" ht="15" hidden="0" customHeight="1">
      <x:c r="A77" s="1" t="s">
        <x:v>9</x:v>
      </x:c>
      <x:c r="B77" s="1" t="s">
        <x:v>10</x:v>
      </x:c>
      <x:c r="C77" s="1" t="s">
        <x:v>11</x:v>
      </x:c>
      <x:c r="D77" s="1" t="s">
        <x:v>12</x:v>
      </x:c>
      <x:c r="E77" s="1" t="s">
        <x:v>13</x:v>
      </x:c>
      <x:c r="F77" s="1" t="s">
        <x:v>14</x:v>
      </x:c>
      <x:c r="G77" s="3" t="n">
        <x:v>2024</x:v>
      </x:c>
      <x:c r="H77" s="4" t="n">
        <x:v>808</x:v>
      </x:c>
      <x:c r="I77" s="5" t="n">
        <x:v>387278</x:v>
      </x:c>
    </x:row>
    <x:row r="78" ht="15" hidden="0" customHeight="1">
      <x:c r="A78" s="1" t="s">
        <x:v>9</x:v>
      </x:c>
      <x:c r="B78" s="1" t="s">
        <x:v>10</x:v>
      </x:c>
      <x:c r="C78" s="1" t="s">
        <x:v>11</x:v>
      </x:c>
      <x:c r="D78" s="1" t="s">
        <x:v>12</x:v>
      </x:c>
      <x:c r="E78" s="1" t="s">
        <x:v>39</x:v>
      </x:c>
      <x:c r="F78" s="1" t="s">
        <x:v>40</x:v>
      </x:c>
      <x:c r="G78" s="3" t="n">
        <x:v>2024</x:v>
      </x:c>
      <x:c r="H78" s="4" t="n">
        <x:v>3526</x:v>
      </x:c>
      <x:c r="I78" s="5" t="n">
        <x:v>1737727</x:v>
      </x:c>
    </x:row>
    <x:row r="79" ht="15" hidden="0" customHeight="1">
      <x:c r="A79" s="1" t="s">
        <x:v>9</x:v>
      </x:c>
      <x:c r="B79" s="1" t="s">
        <x:v>10</x:v>
      </x:c>
      <x:c r="C79" s="1" t="s">
        <x:v>11</x:v>
      </x:c>
      <x:c r="D79" s="1" t="s">
        <x:v>12</x:v>
      </x:c>
      <x:c r="E79" s="1" t="s">
        <x:v>61</x:v>
      </x:c>
      <x:c r="F79" s="1" t="s">
        <x:v>62</x:v>
      </x:c>
      <x:c r="G79" s="3" t="n">
        <x:v>2024</x:v>
      </x:c>
      <x:c r="H79" s="4" t="n">
        <x:v>4</x:v>
      </x:c>
      <x:c r="I79" s="5" t="n">
        <x:v>2207</x:v>
      </x:c>
    </x:row>
    <x:row r="80" ht="15" hidden="0" customHeight="1">
      <x:c r="A80" s="1" t="s">
        <x:v>9</x:v>
      </x:c>
      <x:c r="B80" s="1" t="s">
        <x:v>10</x:v>
      </x:c>
      <x:c r="C80" s="1" t="s">
        <x:v>11</x:v>
      </x:c>
      <x:c r="D80" s="1" t="s">
        <x:v>12</x:v>
      </x:c>
      <x:c r="E80" s="1" t="s">
        <x:v>17</x:v>
      </x:c>
      <x:c r="F80" s="1" t="s">
        <x:v>18</x:v>
      </x:c>
      <x:c r="G80" s="3" t="n">
        <x:v>2024</x:v>
      </x:c>
      <x:c r="H80" s="4" t="n">
        <x:v>21799</x:v>
      </x:c>
      <x:c r="I80" s="5" t="n">
        <x:v>7043433</x:v>
      </x:c>
    </x:row>
    <x:row r="81" ht="15" hidden="0" customHeight="1">
      <x:c r="A81" s="1" t="s">
        <x:v>9</x:v>
      </x:c>
      <x:c r="B81" s="1" t="s">
        <x:v>10</x:v>
      </x:c>
      <x:c r="C81" s="1" t="s">
        <x:v>11</x:v>
      </x:c>
      <x:c r="D81" s="1" t="s">
        <x:v>12</x:v>
      </x:c>
      <x:c r="E81" s="1" t="s">
        <x:v>19</x:v>
      </x:c>
      <x:c r="F81" s="1" t="s">
        <x:v>20</x:v>
      </x:c>
      <x:c r="G81" s="3" t="n">
        <x:v>2024</x:v>
      </x:c>
      <x:c r="H81" s="4" t="n">
        <x:v>1</x:v>
      </x:c>
      <x:c r="I81" s="5" t="n">
        <x:v>110</x:v>
      </x:c>
    </x:row>
    <x:row r="82" ht="15" hidden="0" customHeight="1">
      <x:c r="A82" s="1" t="s">
        <x:v>9</x:v>
      </x:c>
      <x:c r="B82" s="1" t="s">
        <x:v>10</x:v>
      </x:c>
      <x:c r="C82" s="1" t="s">
        <x:v>11</x:v>
      </x:c>
      <x:c r="D82" s="1" t="s">
        <x:v>12</x:v>
      </x:c>
      <x:c r="E82" s="1" t="s">
        <x:v>21</x:v>
      </x:c>
      <x:c r="F82" s="1" t="s">
        <x:v>22</x:v>
      </x:c>
      <x:c r="G82" s="3" t="n">
        <x:v>2024</x:v>
      </x:c>
      <x:c r="H82" s="4" t="n">
        <x:v>1</x:v>
      </x:c>
      <x:c r="I82" s="5" t="n">
        <x:v>754</x:v>
      </x:c>
    </x:row>
    <x:row r="83" ht="15" hidden="0" customHeight="1">
      <x:c r="A83" s="1" t="s">
        <x:v>9</x:v>
      </x:c>
      <x:c r="B83" s="1" t="s">
        <x:v>10</x:v>
      </x:c>
      <x:c r="C83" s="1" t="s">
        <x:v>11</x:v>
      </x:c>
      <x:c r="D83" s="1" t="s">
        <x:v>12</x:v>
      </x:c>
      <x:c r="E83" s="1" t="s">
        <x:v>43</x:v>
      </x:c>
      <x:c r="F83" s="1" t="s">
        <x:v>44</x:v>
      </x:c>
      <x:c r="G83" s="3" t="n">
        <x:v>2024</x:v>
      </x:c>
      <x:c r="H83" s="4" t="n">
        <x:v>45</x:v>
      </x:c>
      <x:c r="I83" s="5" t="n">
        <x:v>1698</x:v>
      </x:c>
    </x:row>
    <x:row r="84" ht="15" hidden="0" customHeight="1">
      <x:c r="A84" s="1" t="s">
        <x:v>9</x:v>
      </x:c>
      <x:c r="B84" s="1" t="s">
        <x:v>10</x:v>
      </x:c>
      <x:c r="C84" s="1" t="s">
        <x:v>11</x:v>
      </x:c>
      <x:c r="D84" s="1" t="s">
        <x:v>12</x:v>
      </x:c>
      <x:c r="E84" s="1" t="s">
        <x:v>63</x:v>
      </x:c>
      <x:c r="F84" s="1" t="s">
        <x:v>64</x:v>
      </x:c>
      <x:c r="G84" s="3" t="n">
        <x:v>2024</x:v>
      </x:c>
      <x:c r="H84" s="4" t="n">
        <x:v>0</x:v>
      </x:c>
      <x:c r="I84" s="5" t="n">
        <x:v>34</x:v>
      </x:c>
    </x:row>
    <x:row r="85" ht="15" hidden="0" customHeight="1">
      <x:c r="A85" s="1" t="s">
        <x:v>9</x:v>
      </x:c>
      <x:c r="B85" s="1" t="s">
        <x:v>10</x:v>
      </x:c>
      <x:c r="C85" s="1" t="s">
        <x:v>11</x:v>
      </x:c>
      <x:c r="D85" s="1" t="s">
        <x:v>12</x:v>
      </x:c>
      <x:c r="E85" s="1" t="s">
        <x:v>45</x:v>
      </x:c>
      <x:c r="F85" s="1" t="s">
        <x:v>46</x:v>
      </x:c>
      <x:c r="G85" s="3" t="n">
        <x:v>2024</x:v>
      </x:c>
      <x:c r="H85" s="4" t="n">
        <x:v>168</x:v>
      </x:c>
      <x:c r="I85" s="5" t="n">
        <x:v>16427</x:v>
      </x:c>
    </x:row>
    <x:row r="86" ht="15" hidden="0" customHeight="1">
      <x:c r="A86" s="1" t="s">
        <x:v>9</x:v>
      </x:c>
      <x:c r="B86" s="1" t="s">
        <x:v>10</x:v>
      </x:c>
      <x:c r="C86" s="1" t="s">
        <x:v>11</x:v>
      </x:c>
      <x:c r="D86" s="1" t="s">
        <x:v>12</x:v>
      </x:c>
      <x:c r="E86" s="1" t="s">
        <x:v>23</x:v>
      </x:c>
      <x:c r="F86" s="1" t="s">
        <x:v>24</x:v>
      </x:c>
      <x:c r="G86" s="3" t="n">
        <x:v>2024</x:v>
      </x:c>
      <x:c r="H86" s="4" t="n">
        <x:v>50</x:v>
      </x:c>
      <x:c r="I86" s="5" t="n">
        <x:v>24993</x:v>
      </x:c>
    </x:row>
    <x:row r="87" ht="15" hidden="0" customHeight="1">
      <x:c r="A87" s="1" t="s">
        <x:v>9</x:v>
      </x:c>
      <x:c r="B87" s="1" t="s">
        <x:v>10</x:v>
      </x:c>
      <x:c r="C87" s="1" t="s">
        <x:v>11</x:v>
      </x:c>
      <x:c r="D87" s="1" t="s">
        <x:v>12</x:v>
      </x:c>
      <x:c r="E87" s="1" t="s">
        <x:v>59</x:v>
      </x:c>
      <x:c r="F87" s="1" t="s">
        <x:v>60</x:v>
      </x:c>
      <x:c r="G87" s="3" t="n">
        <x:v>2024</x:v>
      </x:c>
      <x:c r="H87" s="4" t="n">
        <x:v>36</x:v>
      </x:c>
      <x:c r="I87" s="5" t="n">
        <x:v>14032</x:v>
      </x:c>
    </x:row>
    <x:row r="88" ht="15" hidden="0" customHeight="1">
      <x:c r="A88" s="1" t="s">
        <x:v>9</x:v>
      </x:c>
      <x:c r="B88" s="1" t="s">
        <x:v>10</x:v>
      </x:c>
      <x:c r="C88" s="1" t="s">
        <x:v>11</x:v>
      </x:c>
      <x:c r="D88" s="1" t="s">
        <x:v>12</x:v>
      </x:c>
      <x:c r="E88" s="1" t="s">
        <x:v>25</x:v>
      </x:c>
      <x:c r="F88" s="1" t="s">
        <x:v>26</x:v>
      </x:c>
      <x:c r="G88" s="3" t="n">
        <x:v>2024</x:v>
      </x:c>
      <x:c r="H88" s="4" t="n">
        <x:v>20</x:v>
      </x:c>
      <x:c r="I88" s="5" t="n">
        <x:v>1942</x:v>
      </x:c>
    </x:row>
    <x:row r="89" ht="15" hidden="0" customHeight="1">
      <x:c r="A89" s="1" t="s">
        <x:v>9</x:v>
      </x:c>
      <x:c r="B89" s="1" t="s">
        <x:v>10</x:v>
      </x:c>
      <x:c r="C89" s="1" t="s">
        <x:v>11</x:v>
      </x:c>
      <x:c r="D89" s="1" t="s">
        <x:v>12</x:v>
      </x:c>
      <x:c r="E89" s="1" t="s">
        <x:v>29</x:v>
      </x:c>
      <x:c r="F89" s="1" t="s">
        <x:v>30</x:v>
      </x:c>
      <x:c r="G89" s="3" t="n">
        <x:v>2024</x:v>
      </x:c>
      <x:c r="H89" s="4" t="n">
        <x:v>16739</x:v>
      </x:c>
      <x:c r="I89" s="5" t="n">
        <x:v>1848211</x:v>
      </x:c>
    </x:row>
    <x:row r="90" ht="15" hidden="0" customHeight="1">
      <x:c r="A90" s="1" t="s">
        <x:v>9</x:v>
      </x:c>
      <x:c r="B90" s="1" t="s">
        <x:v>10</x:v>
      </x:c>
      <x:c r="C90" s="1" t="s">
        <x:v>11</x:v>
      </x:c>
      <x:c r="D90" s="1" t="s">
        <x:v>12</x:v>
      </x:c>
      <x:c r="E90" s="1" t="s">
        <x:v>65</x:v>
      </x:c>
      <x:c r="F90" s="1" t="s">
        <x:v>66</x:v>
      </x:c>
      <x:c r="G90" s="3" t="n">
        <x:v>2024</x:v>
      </x:c>
      <x:c r="H90" s="4" t="n">
        <x:v>0</x:v>
      </x:c>
      <x:c r="I90" s="5" t="n">
        <x:v>92</x:v>
      </x:c>
    </x:row>
    <x:row r="91" ht="15" hidden="0" customHeight="1">
      <x:c r="A91" s="1" t="s">
        <x:v>9</x:v>
      </x:c>
      <x:c r="B91" s="1" t="s">
        <x:v>10</x:v>
      </x:c>
      <x:c r="C91" s="1" t="s">
        <x:v>11</x:v>
      </x:c>
      <x:c r="D91" s="1" t="s">
        <x:v>12</x:v>
      </x:c>
      <x:c r="E91" s="1" t="s">
        <x:v>35</x:v>
      </x:c>
      <x:c r="F91" s="1" t="s">
        <x:v>36</x:v>
      </x:c>
      <x:c r="G91" s="3" t="n">
        <x:v>2024</x:v>
      </x:c>
      <x:c r="H91" s="4" t="n">
        <x:v>129</x:v>
      </x:c>
      <x:c r="I91" s="5" t="n">
        <x:v>45415</x:v>
      </x:c>
    </x:row>
    <x:row r="92" ht="15" hidden="0" customHeight="1">
      <x:c r="A92" s="1" t="s">
        <x:v>9</x:v>
      </x:c>
      <x:c r="B92" s="1" t="s">
        <x:v>10</x:v>
      </x:c>
      <x:c r="C92" s="1" t="s">
        <x:v>11</x:v>
      </x:c>
      <x:c r="D92" s="1" t="s">
        <x:v>12</x:v>
      </x:c>
      <x:c r="E92" s="1" t="s">
        <x:v>37</x:v>
      </x:c>
      <x:c r="F92" s="1" t="s">
        <x:v>38</x:v>
      </x:c>
      <x:c r="G92" s="3" t="n">
        <x:v>2024</x:v>
      </x:c>
      <x:c r="H92" s="4" t="n">
        <x:v>43326</x:v>
      </x:c>
      <x:c r="I92" s="5" t="n">
        <x:v>11124353</x:v>
      </x:c>
    </x:row>
    <x:row r="93" ht="15" hidden="0" customHeight="1">
      <x:c r="A93" s="1" t="s">
        <x:v>9</x:v>
      </x:c>
      <x:c r="B93" s="1" t="s">
        <x:v>10</x:v>
      </x:c>
      <x:c r="C93" s="1" t="s">
        <x:v>11</x:v>
      </x:c>
      <x:c r="D93" s="1" t="s">
        <x:v>12</x:v>
      </x:c>
      <x:c r="E93" s="1" t="s">
        <x:v>13</x:v>
      </x:c>
      <x:c r="F93" s="1" t="s">
        <x:v>14</x:v>
      </x:c>
      <x:c r="G93" s="3" t="n">
        <x:v>2025</x:v>
      </x:c>
      <x:c r="H93" s="4" t="n">
        <x:v>68</x:v>
      </x:c>
      <x:c r="I93" s="5" t="n">
        <x:v>51500</x:v>
      </x:c>
    </x:row>
    <x:row r="94" ht="15" hidden="0" customHeight="1">
      <x:c r="A94" s="1" t="s">
        <x:v>9</x:v>
      </x:c>
      <x:c r="B94" s="1" t="s">
        <x:v>10</x:v>
      </x:c>
      <x:c r="C94" s="1" t="s">
        <x:v>11</x:v>
      </x:c>
      <x:c r="D94" s="1" t="s">
        <x:v>12</x:v>
      </x:c>
      <x:c r="E94" s="1" t="s">
        <x:v>39</x:v>
      </x:c>
      <x:c r="F94" s="1" t="s">
        <x:v>40</x:v>
      </x:c>
      <x:c r="G94" s="3" t="n">
        <x:v>2025</x:v>
      </x:c>
      <x:c r="H94" s="4" t="n">
        <x:v>2802</x:v>
      </x:c>
      <x:c r="I94" s="5" t="n">
        <x:v>712264</x:v>
      </x:c>
    </x:row>
    <x:row r="95" ht="15" hidden="0" customHeight="1">
      <x:c r="A95" s="1" t="s">
        <x:v>9</x:v>
      </x:c>
      <x:c r="B95" s="1" t="s">
        <x:v>10</x:v>
      </x:c>
      <x:c r="C95" s="1" t="s">
        <x:v>11</x:v>
      </x:c>
      <x:c r="D95" s="1" t="s">
        <x:v>12</x:v>
      </x:c>
      <x:c r="E95" s="1" t="s">
        <x:v>61</x:v>
      </x:c>
      <x:c r="F95" s="1" t="s">
        <x:v>62</x:v>
      </x:c>
      <x:c r="G95" s="3" t="n">
        <x:v>2025</x:v>
      </x:c>
      <x:c r="H95" s="4" t="n">
        <x:v>162</x:v>
      </x:c>
      <x:c r="I95" s="5" t="n">
        <x:v>99066</x:v>
      </x:c>
    </x:row>
    <x:row r="96" ht="15" hidden="0" customHeight="1">
      <x:c r="A96" s="1" t="s">
        <x:v>9</x:v>
      </x:c>
      <x:c r="B96" s="1" t="s">
        <x:v>10</x:v>
      </x:c>
      <x:c r="C96" s="1" t="s">
        <x:v>11</x:v>
      </x:c>
      <x:c r="D96" s="1" t="s">
        <x:v>12</x:v>
      </x:c>
      <x:c r="E96" s="1" t="s">
        <x:v>17</x:v>
      </x:c>
      <x:c r="F96" s="1" t="s">
        <x:v>18</x:v>
      </x:c>
      <x:c r="G96" s="3" t="n">
        <x:v>2025</x:v>
      </x:c>
      <x:c r="H96" s="4" t="n">
        <x:v>17429</x:v>
      </x:c>
      <x:c r="I96" s="5" t="n">
        <x:v>6279470</x:v>
      </x:c>
    </x:row>
    <x:row r="97" ht="15" hidden="0" customHeight="1">
      <x:c r="A97" s="1" t="s">
        <x:v>9</x:v>
      </x:c>
      <x:c r="B97" s="1" t="s">
        <x:v>10</x:v>
      </x:c>
      <x:c r="C97" s="1" t="s">
        <x:v>11</x:v>
      </x:c>
      <x:c r="D97" s="1" t="s">
        <x:v>12</x:v>
      </x:c>
      <x:c r="E97" s="1" t="s">
        <x:v>67</x:v>
      </x:c>
      <x:c r="F97" s="1" t="s">
        <x:v>68</x:v>
      </x:c>
      <x:c r="G97" s="3" t="n">
        <x:v>2025</x:v>
      </x:c>
      <x:c r="H97" s="4" t="n">
        <x:v>6</x:v>
      </x:c>
      <x:c r="I97" s="5" t="n">
        <x:v>20831</x:v>
      </x:c>
    </x:row>
    <x:row r="98" ht="15" hidden="0" customHeight="1">
      <x:c r="A98" s="1" t="s">
        <x:v>9</x:v>
      </x:c>
      <x:c r="B98" s="1" t="s">
        <x:v>10</x:v>
      </x:c>
      <x:c r="C98" s="1" t="s">
        <x:v>11</x:v>
      </x:c>
      <x:c r="D98" s="1" t="s">
        <x:v>12</x:v>
      </x:c>
      <x:c r="E98" s="1" t="s">
        <x:v>19</x:v>
      </x:c>
      <x:c r="F98" s="1" t="s">
        <x:v>20</x:v>
      </x:c>
      <x:c r="G98" s="3" t="n">
        <x:v>2025</x:v>
      </x:c>
      <x:c r="H98" s="4" t="n">
        <x:v>2</x:v>
      </x:c>
      <x:c r="I98" s="5" t="n">
        <x:v>11980</x:v>
      </x:c>
    </x:row>
    <x:row r="99" ht="15" hidden="0" customHeight="1">
      <x:c r="A99" s="1" t="s">
        <x:v>9</x:v>
      </x:c>
      <x:c r="B99" s="1" t="s">
        <x:v>10</x:v>
      </x:c>
      <x:c r="C99" s="1" t="s">
        <x:v>11</x:v>
      </x:c>
      <x:c r="D99" s="1" t="s">
        <x:v>12</x:v>
      </x:c>
      <x:c r="E99" s="1" t="s">
        <x:v>21</x:v>
      </x:c>
      <x:c r="F99" s="1" t="s">
        <x:v>22</x:v>
      </x:c>
      <x:c r="G99" s="3" t="n">
        <x:v>2025</x:v>
      </x:c>
      <x:c r="H99" s="4" t="n">
        <x:v>276</x:v>
      </x:c>
      <x:c r="I99" s="5" t="n">
        <x:v>183559</x:v>
      </x:c>
    </x:row>
    <x:row r="100" ht="15" hidden="0" customHeight="1">
      <x:c r="A100" s="1" t="s">
        <x:v>9</x:v>
      </x:c>
      <x:c r="B100" s="1" t="s">
        <x:v>10</x:v>
      </x:c>
      <x:c r="C100" s="1" t="s">
        <x:v>11</x:v>
      </x:c>
      <x:c r="D100" s="1" t="s">
        <x:v>12</x:v>
      </x:c>
      <x:c r="E100" s="1" t="s">
        <x:v>63</x:v>
      </x:c>
      <x:c r="F100" s="1" t="s">
        <x:v>64</x:v>
      </x:c>
      <x:c r="G100" s="3" t="n">
        <x:v>2025</x:v>
      </x:c>
      <x:c r="H100" s="4" t="n">
        <x:v>0</x:v>
      </x:c>
      <x:c r="I100" s="5" t="n">
        <x:v>7</x:v>
      </x:c>
    </x:row>
    <x:row r="101" ht="15" hidden="0" customHeight="1">
      <x:c r="A101" s="1" t="s">
        <x:v>9</x:v>
      </x:c>
      <x:c r="B101" s="1" t="s">
        <x:v>10</x:v>
      </x:c>
      <x:c r="C101" s="1" t="s">
        <x:v>11</x:v>
      </x:c>
      <x:c r="D101" s="1" t="s">
        <x:v>12</x:v>
      </x:c>
      <x:c r="E101" s="1" t="s">
        <x:v>45</x:v>
      </x:c>
      <x:c r="F101" s="1" t="s">
        <x:v>46</x:v>
      </x:c>
      <x:c r="G101" s="3" t="n">
        <x:v>2025</x:v>
      </x:c>
      <x:c r="H101" s="4" t="n">
        <x:v>70</x:v>
      </x:c>
      <x:c r="I101" s="5" t="n">
        <x:v>53604</x:v>
      </x:c>
    </x:row>
    <x:row r="102" ht="15" hidden="0" customHeight="1">
      <x:c r="A102" s="1" t="s">
        <x:v>9</x:v>
      </x:c>
      <x:c r="B102" s="1" t="s">
        <x:v>10</x:v>
      </x:c>
      <x:c r="C102" s="1" t="s">
        <x:v>11</x:v>
      </x:c>
      <x:c r="D102" s="1" t="s">
        <x:v>12</x:v>
      </x:c>
      <x:c r="E102" s="1" t="s">
        <x:v>47</x:v>
      </x:c>
      <x:c r="F102" s="1" t="s">
        <x:v>48</x:v>
      </x:c>
      <x:c r="G102" s="3" t="n">
        <x:v>2025</x:v>
      </x:c>
      <x:c r="H102" s="4" t="n">
        <x:v>110</x:v>
      </x:c>
      <x:c r="I102" s="5" t="n">
        <x:v>44810</x:v>
      </x:c>
    </x:row>
    <x:row r="103" ht="15" hidden="0" customHeight="1">
      <x:c r="A103" s="1" t="s">
        <x:v>9</x:v>
      </x:c>
      <x:c r="B103" s="1" t="s">
        <x:v>10</x:v>
      </x:c>
      <x:c r="C103" s="1" t="s">
        <x:v>11</x:v>
      </x:c>
      <x:c r="D103" s="1" t="s">
        <x:v>12</x:v>
      </x:c>
      <x:c r="E103" s="1" t="s">
        <x:v>59</x:v>
      </x:c>
      <x:c r="F103" s="1" t="s">
        <x:v>60</x:v>
      </x:c>
      <x:c r="G103" s="3" t="n">
        <x:v>2025</x:v>
      </x:c>
      <x:c r="H103" s="4" t="n">
        <x:v>2603</x:v>
      </x:c>
      <x:c r="I103" s="5" t="n">
        <x:v>608646</x:v>
      </x:c>
    </x:row>
    <x:row r="104" ht="15" hidden="0" customHeight="1">
      <x:c r="A104" s="1" t="s">
        <x:v>9</x:v>
      </x:c>
      <x:c r="B104" s="1" t="s">
        <x:v>10</x:v>
      </x:c>
      <x:c r="C104" s="1" t="s">
        <x:v>11</x:v>
      </x:c>
      <x:c r="D104" s="1" t="s">
        <x:v>12</x:v>
      </x:c>
      <x:c r="E104" s="1" t="s">
        <x:v>51</x:v>
      </x:c>
      <x:c r="F104" s="1" t="s">
        <x:v>52</x:v>
      </x:c>
      <x:c r="G104" s="3" t="n">
        <x:v>2025</x:v>
      </x:c>
      <x:c r="H104" s="4" t="n">
        <x:v>0</x:v>
      </x:c>
      <x:c r="I104" s="5" t="n">
        <x:v>82</x:v>
      </x:c>
    </x:row>
    <x:row r="105" ht="15" hidden="0" customHeight="1">
      <x:c r="A105" s="1" t="s">
        <x:v>9</x:v>
      </x:c>
      <x:c r="B105" s="1" t="s">
        <x:v>10</x:v>
      </x:c>
      <x:c r="C105" s="1" t="s">
        <x:v>11</x:v>
      </x:c>
      <x:c r="D105" s="1" t="s">
        <x:v>12</x:v>
      </x:c>
      <x:c r="E105" s="1" t="s">
        <x:v>69</x:v>
      </x:c>
      <x:c r="F105" s="1" t="s">
        <x:v>70</x:v>
      </x:c>
      <x:c r="G105" s="3" t="n">
        <x:v>2025</x:v>
      </x:c>
      <x:c r="H105" s="4" t="n">
        <x:v>66</x:v>
      </x:c>
      <x:c r="I105" s="5" t="n">
        <x:v>36650</x:v>
      </x:c>
    </x:row>
    <x:row r="106" ht="15" hidden="0" customHeight="1">
      <x:c r="A106" s="1" t="s">
        <x:v>9</x:v>
      </x:c>
      <x:c r="B106" s="1" t="s">
        <x:v>10</x:v>
      </x:c>
      <x:c r="C106" s="1" t="s">
        <x:v>11</x:v>
      </x:c>
      <x:c r="D106" s="1" t="s">
        <x:v>12</x:v>
      </x:c>
      <x:c r="E106" s="1" t="s">
        <x:v>25</x:v>
      </x:c>
      <x:c r="F106" s="1" t="s">
        <x:v>26</x:v>
      </x:c>
      <x:c r="G106" s="3" t="n">
        <x:v>2025</x:v>
      </x:c>
      <x:c r="H106" s="4" t="n">
        <x:v>1055</x:v>
      </x:c>
      <x:c r="I106" s="5" t="n">
        <x:v>128476</x:v>
      </x:c>
    </x:row>
    <x:row r="107" ht="15" hidden="0" customHeight="1">
      <x:c r="A107" s="1" t="s">
        <x:v>9</x:v>
      </x:c>
      <x:c r="B107" s="1" t="s">
        <x:v>10</x:v>
      </x:c>
      <x:c r="C107" s="1" t="s">
        <x:v>11</x:v>
      </x:c>
      <x:c r="D107" s="1" t="s">
        <x:v>12</x:v>
      </x:c>
      <x:c r="E107" s="1" t="s">
        <x:v>29</x:v>
      </x:c>
      <x:c r="F107" s="1" t="s">
        <x:v>30</x:v>
      </x:c>
      <x:c r="G107" s="3" t="n">
        <x:v>2025</x:v>
      </x:c>
      <x:c r="H107" s="4" t="n">
        <x:v>13246</x:v>
      </x:c>
      <x:c r="I107" s="5" t="n">
        <x:v>2148771</x:v>
      </x:c>
    </x:row>
    <x:row r="108" ht="15" hidden="0" customHeight="1">
      <x:c r="A108" s="1" t="s">
        <x:v>9</x:v>
      </x:c>
      <x:c r="B108" s="1" t="s">
        <x:v>10</x:v>
      </x:c>
      <x:c r="C108" s="1" t="s">
        <x:v>11</x:v>
      </x:c>
      <x:c r="D108" s="1" t="s">
        <x:v>12</x:v>
      </x:c>
      <x:c r="E108" s="1" t="s">
        <x:v>31</x:v>
      </x:c>
      <x:c r="F108" s="1" t="s">
        <x:v>32</x:v>
      </x:c>
      <x:c r="G108" s="3" t="n">
        <x:v>2025</x:v>
      </x:c>
      <x:c r="H108" s="4" t="n">
        <x:v>269</x:v>
      </x:c>
      <x:c r="I108" s="5" t="n">
        <x:v>164059</x:v>
      </x:c>
    </x:row>
    <x:row r="109" ht="15" hidden="0" customHeight="1">
      <x:c r="A109" s="1" t="s">
        <x:v>9</x:v>
      </x:c>
      <x:c r="B109" s="1" t="s">
        <x:v>10</x:v>
      </x:c>
      <x:c r="C109" s="1" t="s">
        <x:v>11</x:v>
      </x:c>
      <x:c r="D109" s="1" t="s">
        <x:v>12</x:v>
      </x:c>
      <x:c r="E109" s="1" t="s">
        <x:v>35</x:v>
      </x:c>
      <x:c r="F109" s="1" t="s">
        <x:v>36</x:v>
      </x:c>
      <x:c r="G109" s="3" t="n">
        <x:v>2025</x:v>
      </x:c>
      <x:c r="H109" s="4" t="n">
        <x:v>161</x:v>
      </x:c>
      <x:c r="I109" s="5" t="n">
        <x:v>56343</x:v>
      </x:c>
    </x:row>
    <x:row r="110" ht="15" hidden="0" customHeight="1">
      <x:c r="A110" s="1" t="s">
        <x:v>9</x:v>
      </x:c>
      <x:c r="B110" s="1" t="s">
        <x:v>10</x:v>
      </x:c>
      <x:c r="C110" s="1" t="s">
        <x:v>11</x:v>
      </x:c>
      <x:c r="D110" s="1" t="s">
        <x:v>12</x:v>
      </x:c>
      <x:c r="E110" s="1" t="s">
        <x:v>37</x:v>
      </x:c>
      <x:c r="F110" s="1" t="s">
        <x:v>38</x:v>
      </x:c>
      <x:c r="G110" s="3" t="n">
        <x:v>2025</x:v>
      </x:c>
      <x:c r="H110" s="4" t="n">
        <x:v>38325</x:v>
      </x:c>
      <x:c r="I110" s="5" t="n">
        <x:v>10600118</x:v>
      </x:c>
    </x:row>
  </x:sheetData>
  <x:pageMargins left="0.7" right="0.7" top="0.75" bottom="0.75" header="0.3" footer="0.3"/>
  <x:tableParts count="1">
    <x:tablePart xmlns:r="http://schemas.openxmlformats.org/officeDocument/2006/relationships" r:id="R6752065908ff4ed8"/>
  </x:tableParts>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24" style="1" hidden="0" customWidth="1"/>
    <x:col min="2" max="2" width="95" style="1" hidden="0" customWidth="1"/>
  </x:cols>
  <x:sheetData>
    <x:row r="1" ht="15" hidden="0" customHeight="1">
      <x:c r="A1" s="61" t="s">
        <x:v>71</x:v>
      </x:c>
      <x:c r="B1" s="61" t="s">
        <x:v>72</x:v>
      </x:c>
    </x:row>
    <x:row r="2" ht="15" hidden="0" customHeight="1">
      <x:c r="A2" s="1" t="s">
        <x:v>73</x:v>
      </x:c>
      <x:c r="B2" s="1" t="s">
        <x:v>74</x:v>
      </x:c>
    </x:row>
    <x:row r="3" ht="15" hidden="0" customHeight="1">
      <x:c r="A3" s="1" t="s">
        <x:v>75</x:v>
      </x:c>
      <x:c r="B3" s="1" t="s">
        <x:v>76</x:v>
      </x:c>
    </x:row>
    <x:row r="4" ht="15" hidden="0" customHeight="1">
      <x:c r="A4" s="1" t="s">
        <x:v>77</x:v>
      </x:c>
      <x:c r="B4" s="1" t="s">
        <x:v>78</x:v>
      </x:c>
    </x:row>
    <x:row r="5" ht="15" hidden="0" customHeight="1">
      <x:c r="A5" s="1" t="s">
        <x:v>3</x:v>
      </x:c>
      <x:c r="B5" s="1" t="s">
        <x:v>79</x:v>
      </x:c>
    </x:row>
    <x:row r="6" ht="15" hidden="0" customHeight="1">
      <x:c r="A6" s="1" t="s">
        <x:v>80</x:v>
      </x:c>
      <x:c r="B6" s="1" t="s">
        <x:v>81</x:v>
      </x:c>
    </x:row>
    <x:row r="7" ht="15" hidden="0" customHeight="1">
      <x:c r="A7" s="1" t="s">
        <x:v>82</x:v>
      </x:c>
      <x:c r="B7" s="1" t="s">
        <x:v>83</x:v>
      </x:c>
    </x:row>
    <x:row r="9" ht="15" hidden="0" customHeight="1">
      <x:c r="A9" s="7" t="s">
        <x:v>84</x:v>
      </x:c>
      <x:c r="B9" s="7" t="s">
        <x:v>85</x:v>
      </x:c>
    </x:row>
    <x:row r="10" ht="15" hidden="0" customHeight="1">
      <x:c r="A10" s="1" t="s">
        <x:v>86</x:v>
      </x:c>
      <x:c r="B10" s="1" t="s">
        <x:v>83</x:v>
      </x:c>
    </x:row>
    <x:row r="11" ht="15" hidden="0" customHeight="1">
      <x:c r="A11" s="1" t="s">
        <x:v>87</x:v>
      </x:c>
      <x:c r="B11" s="1" t="s">
        <x:v>88</x:v>
      </x:c>
    </x:row>
    <x:row r="12" ht="15" hidden="0" customHeight="1">
      <x:c r="A12" s="1" t="s">
        <x:v>89</x:v>
      </x:c>
      <x:c r="B12" s="1" t="s">
        <x:v>90</x:v>
      </x:c>
    </x:row>
    <x:row r="13" ht="15" hidden="0" customHeight="1">
      <x:c r="A13" s="1" t="s">
        <x:v>91</x:v>
      </x:c>
      <x:c r="B13" s="1" t="s">
        <x:v>92</x:v>
      </x:c>
    </x:row>
    <x:row r="14" ht="15" hidden="0" customHeight="1">
      <x:c r="A14" s="1" t="s">
        <x:v>93</x:v>
      </x:c>
      <x:c r="B14" s="1" t="s">
        <x:v>94</x:v>
      </x:c>
    </x:row>
    <x:row r="15" ht="15" hidden="0" customHeight="1">
      <x:c r="A15" s="1" t="s">
        <x:v>95</x:v>
      </x:c>
      <x:c r="B15" s="1" t="s">
        <x:v>96</x:v>
      </x:c>
    </x:row>
    <x:row r="17" ht="15" hidden="0" customHeight="1">
      <x:c r="A17" s="8" t="s">
        <x:v>97</x:v>
      </x:c>
      <x:c r="B17" s="8" t="s">
        <x:v>98</x:v>
      </x:c>
    </x:row>
    <x:row r="18" ht="15" hidden="0" customHeight="1">
      <x:c r="A18" s="1" t="s">
        <x:v>99</x:v>
      </x:c>
      <x:c r="B18" s="1" t="s">
        <x:v>100</x:v>
      </x:c>
    </x:row>
    <x:row r="19" ht="15" hidden="0" customHeight="1">
      <x:c r="A19" s="1" t="s">
        <x:v>101</x:v>
      </x:c>
      <x:c r="B19" s="1" t="s">
        <x:v>102</x:v>
      </x:c>
    </x:row>
    <x:row r="20" ht="15" hidden="0" customHeight="1">
      <x:c r="A20" s="1" t="s">
        <x:v>103</x:v>
      </x:c>
      <x:c r="B20" s="1" t="s">
        <x:v>104</x:v>
      </x:c>
    </x:row>
    <x:row r="21" ht="15" hidden="0" customHeight="1">
      <x:c r="A21" s="1" t="s">
        <x:v>105</x:v>
      </x:c>
      <x:c r="B21" s="1" t="s">
        <x:v>106</x:v>
      </x:c>
    </x:row>
    <x:row r="22" ht="15" hidden="0" customHeight="1">
      <x:c r="A22" s="1" t="s">
        <x:v>107</x:v>
      </x:c>
      <x:c r="B22" s="1" t="s">
        <x:v>108</x:v>
      </x:c>
    </x:row>
    <x:row r="23" ht="15" hidden="0" customHeight="1">
      <x:c r="A23" s="1" t="s">
        <x:v>109</x:v>
      </x:c>
      <x:c r="B23" s="1" t="s">
        <x:v>110</x:v>
      </x:c>
    </x:row>
    <x:row r="25" ht="15" hidden="0" customHeight="1">
      <x:c r="A25" s="1" t="s">
        <x:v>111</x:v>
      </x:c>
      <x:c r="B25" s="1" t="s">
        <x:v>112</x:v>
      </x:c>
    </x:row>
    <x:row r="26" ht="15" hidden="0" customHeight="1">
      <x:c r="A26" s="1" t="s">
        <x:v>113</x:v>
      </x:c>
      <x:c r="B26" s="1" t="s">
        <x:v>102</x:v>
      </x:c>
    </x:row>
    <x:row r="27" ht="15" hidden="0" customHeight="1">
      <x:c r="A27" s="1" t="s">
        <x:v>114</x:v>
      </x:c>
      <x:c r="B27" s="1" t="s">
        <x:v>115</x:v>
      </x:c>
    </x:row>
    <x:row r="28" ht="15" hidden="0" customHeight="1">
      <x:c r="A28" s="1" t="s">
        <x:v>116</x:v>
      </x:c>
      <x:c r="B28" s="1" t="s">
        <x:v>104</x:v>
      </x:c>
    </x:row>
    <x:row r="29" ht="15" hidden="0" customHeight="1">
      <x:c r="A29" s="1" t="s">
        <x:v>117</x:v>
      </x:c>
      <x:c r="B29" s="1" t="s">
        <x:v>106</x:v>
      </x:c>
    </x:row>
    <x:row r="30" ht="15" hidden="0" customHeight="1">
      <x:c r="A30" s="1" t="s">
        <x:v>118</x:v>
      </x:c>
      <x:c r="B30" s="1" t="s">
        <x:v>119</x:v>
      </x:c>
    </x:row>
    <x:row r="31" ht="15" hidden="0" customHeight="1">
      <x:c r="A31" s="1" t="s">
        <x:v>120</x:v>
      </x:c>
      <x:c r="B31" s="1" t="s">
        <x:v>121</x:v>
      </x:c>
    </x:row>
    <x:row r="33" ht="15" hidden="0" customHeight="1">
      <x:c r="A33" s="1" t="s">
        <x:v>122</x:v>
      </x:c>
      <x:c r="B33" s="1" t="s">
        <x:v>123</x:v>
      </x:c>
    </x:row>
    <x:row r="34" ht="15" hidden="0" customHeight="1">
      <x:c r="A34" s="1" t="s">
        <x:v>124</x:v>
      </x:c>
      <x:c r="B34" s="1" t="s">
        <x:v>125</x:v>
      </x:c>
    </x:row>
    <x:row r="35" ht="15" hidden="0" customHeight="1">
      <x:c r="A35" s="1" t="s">
        <x:v>126</x:v>
      </x:c>
      <x:c r="B35" s="1" t="s">
        <x:v>127</x:v>
      </x:c>
    </x:row>
    <x:row r="36" ht="15" hidden="0" customHeight="1">
      <x:c r="A36" s="1" t="s">
        <x:v>128</x:v>
      </x:c>
      <x:c r="B36" s="1" t="s">
        <x:v>129</x:v>
      </x:c>
    </x:row>
    <x:row r="37" ht="15" hidden="0" customHeight="1">
      <x:c r="A37" s="1" t="s">
        <x:v>130</x:v>
      </x:c>
      <x:c r="B37" s="1" t="s">
        <x:v>131</x:v>
      </x:c>
    </x:row>
    <x:row r="38" ht="15" hidden="0" customHeight="1">
      <x:c r="A38" s="1" t="s">
        <x:v>132</x:v>
      </x:c>
      <x:c r="B38" s="1" t="s">
        <x:v>133</x:v>
      </x:c>
    </x:row>
    <x:row r="39" ht="15" hidden="0" customHeight="1">
      <x:c r="A39" s="1" t="s">
        <x:v>134</x:v>
      </x:c>
      <x:c r="B39" s="1" t="s">
        <x:v>135</x:v>
      </x:c>
    </x:row>
    <x:row r="40" ht="15" hidden="0" customHeight="1">
      <x:c r="A40" s="1" t="s">
        <x:v>136</x:v>
      </x:c>
      <x:c r="B40" s="1" t="s">
        <x:v>137</x:v>
      </x:c>
    </x:row>
    <x:row r="41" ht="15" hidden="0" customHeight="1">
      <x:c r="A41" s="1" t="s">
        <x:v>138</x:v>
      </x:c>
      <x:c r="B41" s="1" t="s">
        <x:v>139</x:v>
      </x:c>
    </x:row>
    <x:row r="42" ht="15" hidden="0" customHeight="1">
      <x:c r="A42" s="1" t="s">
        <x:v>140</x:v>
      </x:c>
      <x:c r="B42" s="1" t="s">
        <x:v>141</x:v>
      </x:c>
    </x:row>
    <x:row r="43" ht="15" hidden="0" customHeight="1">
      <x:c r="A43" s="1" t="s">
        <x:v>142</x:v>
      </x:c>
      <x:c r="B43" s="1" t="s">
        <x:v>143</x:v>
      </x:c>
    </x:row>
    <x:row r="44" ht="15" hidden="0" customHeight="1">
      <x:c r="A44" s="1" t="s">
        <x:v>144</x:v>
      </x:c>
      <x:c r="B44" s="1" t="s">
        <x:v>145</x:v>
      </x:c>
    </x:row>
    <x:row r="45">
      <x:c r="A45" t="str">
        <x:v>Russia NTR suspension law</x:v>
      </x:c>
      <x:c r="B45" t="str">
        <x:v>Public Law 117-110, Suspending Normal Trade Relations with Russia and Belarus Act; approved April 8, 2022; column 2 effective beginning April 9, 2022. https://www.govinfo.gov/app/details/PLAW-117publ110</x:v>
      </x:c>
    </x:row>
    <x:row r="46">
      <x:c r="A46" t="str">
        <x:v>2022 HTS gallium rate</x:v>
      </x:c>
      <x:c r="B46" t="str">
        <x:v>USITC 2022 HTSA Basic Edition, HTS 8112.92.10.00: column 1-general 3%; column 2 25%. https://www.usitc.gov/2022_htsa_basic_edition.htm</x:v>
      </x:c>
    </x:row>
    <x:row r="47">
      <x:c r="A47" t="str">
        <x:v>Current HTS cross-check</x:v>
      </x:c>
      <x:c r="B47" t="str">
        <x:v>USITC HTS search for 8112.92.1000 continues to show gallium at 3% general and 25% column 2. https://hts.usitc.gov/search?query=8112921000</x:v>
      </x:c>
    </x:row>
    <x:row r="48">
      <x:c r="A48" t="str">
        <x:v>USITC effective-date corroboration</x:v>
      </x:c>
      <x:c r="B48" t="str">
        <x:v>USITC trade-remedy report states Russia and Belarus became subject to HTS column 2 rates effective April 9, 2022. https://www.usitc.gov/publications/701_731/pub5556.pdf</x:v>
      </x:c>
    </x:row>
    <x:row r="49">
      <x:c r="A49" t="str">
        <x:v>Russia validation implication</x:v>
      </x:c>
      <x:c r="B49" t="str">
        <x:v>Treat the Russia Section 8 outcome as a confounded contradiction: observed quantity contraction is real, but it cannot be cleanly attributed to gallium supply independence because a large Russia-specific tariff shock began inside the baseline period.</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12" style="1" hidden="0" customWidth="1"/>
    <x:col min="2" max="2" width="22" style="1" hidden="0" customWidth="1"/>
    <x:col min="3" max="3" width="10" style="1" hidden="0" customWidth="1"/>
    <x:col min="4" max="5" width="16" style="1" hidden="0" customWidth="1"/>
    <x:col min="7" max="7" width="22" style="1" hidden="0" customWidth="1"/>
    <x:col min="8" max="8" width="68" style="1" hidden="0" customWidth="1"/>
  </x:cols>
  <x:sheetData>
    <x:row r="1" ht="15" hidden="0" customHeight="1">
      <x:c r="A1" s="2" t="s">
        <x:v>4</x:v>
      </x:c>
      <x:c r="B1" s="2" t="s">
        <x:v>5</x:v>
      </x:c>
      <x:c r="C1" s="2" t="s">
        <x:v>6</x:v>
      </x:c>
      <x:c r="D1" s="2" t="s">
        <x:v>7</x:v>
      </x:c>
      <x:c r="E1" s="2" t="s">
        <x:v>8</x:v>
      </x:c>
      <x:c r="G1" s="9" t="s">
        <x:v>146</x:v>
      </x:c>
      <x:c r="H1" s="9" t="s">
        <x:v>72</x:v>
      </x:c>
    </x:row>
    <x:row r="2" ht="15" hidden="0" customHeight="1">
      <x:c r="A2" s="1" t="s">
        <x:v>17</x:v>
      </x:c>
      <x:c r="B2" s="1" t="s">
        <x:v>18</x:v>
      </x:c>
      <x:c r="C2" s="3" t="n">
        <x:v>2023</x:v>
      </x:c>
      <x:c r="D2" s="4" t="n">
        <x:v>628</x:v>
      </x:c>
      <x:c r="E2" s="5" t="n">
        <x:v>130992</x:v>
      </x:c>
      <x:c r="G2" s="1" t="s">
        <x:v>75</x:v>
      </x:c>
      <x:c r="H2" s="1" t="s">
        <x:v>147</x:v>
      </x:c>
    </x:row>
    <x:row r="3" ht="15" hidden="0" customHeight="1">
      <x:c r="A3" s="1" t="s">
        <x:v>67</x:v>
      </x:c>
      <x:c r="B3" s="1" t="s">
        <x:v>68</x:v>
      </x:c>
      <x:c r="C3" s="3" t="n">
        <x:v>2024</x:v>
      </x:c>
      <x:c r="D3" s="4" t="n">
        <x:v>2</x:v>
      </x:c>
      <x:c r="E3" s="5" t="n">
        <x:v>1023</x:v>
      </x:c>
      <x:c r="G3" s="1" t="s">
        <x:v>0</x:v>
      </x:c>
      <x:c r="H3" s="1" t="s">
        <x:v>30</x:v>
      </x:c>
    </x:row>
    <x:row r="4" ht="15" hidden="0" customHeight="1">
      <x:c r="A4" s="1" t="s">
        <x:v>67</x:v>
      </x:c>
      <x:c r="B4" s="1" t="s">
        <x:v>68</x:v>
      </x:c>
      <x:c r="C4" s="3" t="n">
        <x:v>2025</x:v>
      </x:c>
      <x:c r="D4" s="4" t="n">
        <x:v>1</x:v>
      </x:c>
      <x:c r="E4" s="5" t="n">
        <x:v>3306</x:v>
      </x:c>
      <x:c r="G4" s="1" t="s">
        <x:v>1</x:v>
      </x:c>
      <x:c r="H4" s="1" t="s">
        <x:v>148</x:v>
      </x:c>
    </x:row>
    <x:row r="5" ht="15" hidden="0" customHeight="1">
      <x:c r="A5" s="1" t="s">
        <x:v>149</x:v>
      </x:c>
      <x:c r="B5" s="1" t="s">
        <x:v>9</x:v>
      </x:c>
      <x:c r="C5" s="3" t="n">
        <x:v>2019</x:v>
      </x:c>
      <x:c r="D5" s="4" t="n">
        <x:v>452</x:v>
      </x:c>
      <x:c r="E5" s="5" t="n">
        <x:v>40490</x:v>
      </x:c>
      <x:c r="G5" s="1" t="s">
        <x:v>3</x:v>
      </x:c>
      <x:c r="H5" s="1" t="s">
        <x:v>79</x:v>
      </x:c>
    </x:row>
    <x:row r="6" ht="15" hidden="0" customHeight="1">
      <x:c r="A6" s="1" t="s">
        <x:v>149</x:v>
      </x:c>
      <x:c r="B6" s="1" t="s">
        <x:v>9</x:v>
      </x:c>
      <x:c r="C6" s="3" t="n">
        <x:v>2020</x:v>
      </x:c>
      <x:c r="D6" s="4" t="n">
        <x:v>4050</x:v>
      </x:c>
      <x:c r="E6" s="5" t="n">
        <x:v>329905</x:v>
      </x:c>
      <x:c r="G6" s="1" t="s">
        <x:v>80</x:v>
      </x:c>
      <x:c r="H6" s="1" t="s">
        <x:v>150</x:v>
      </x:c>
    </x:row>
    <x:row r="7" ht="15" hidden="0" customHeight="1">
      <x:c r="A7" s="1" t="s">
        <x:v>149</x:v>
      </x:c>
      <x:c r="B7" s="1" t="s">
        <x:v>9</x:v>
      </x:c>
      <x:c r="C7" s="3" t="n">
        <x:v>2022</x:v>
      </x:c>
      <x:c r="D7" s="4" t="n">
        <x:v>7352</x:v>
      </x:c>
      <x:c r="E7" s="5" t="n">
        <x:v>627619</x:v>
      </x:c>
      <x:c r="G7" s="1" t="s">
        <x:v>151</x:v>
      </x:c>
      <x:c r="H7" s="1" t="s">
        <x:v>152</x:v>
      </x:c>
    </x:row>
    <x:row r="8" ht="15" hidden="0" customHeight="1">
      <x:c r="A8" s="1" t="s">
        <x:v>149</x:v>
      </x:c>
      <x:c r="B8" s="1" t="s">
        <x:v>9</x:v>
      </x:c>
      <x:c r="C8" s="3" t="n">
        <x:v>2023</x:v>
      </x:c>
      <x:c r="D8" s="4" t="n">
        <x:v>3609</x:v>
      </x:c>
      <x:c r="E8" s="5" t="n">
        <x:v>439495</x:v>
      </x:c>
      <x:c r="G8" s="1" t="s">
        <x:v>153</x:v>
      </x:c>
      <x:c r="H8" s="1" t="s">
        <x:v>88</x:v>
      </x:c>
    </x:row>
    <x:row r="9" ht="15" hidden="0" customHeight="1">
      <x:c r="A9" s="1" t="s">
        <x:v>149</x:v>
      </x:c>
      <x:c r="B9" s="1" t="s">
        <x:v>9</x:v>
      </x:c>
      <x:c r="C9" s="3" t="n">
        <x:v>2025</x:v>
      </x:c>
      <x:c r="D9" s="4" t="n">
        <x:v>3870</x:v>
      </x:c>
      <x:c r="E9" s="5" t="n">
        <x:v>1696500</x:v>
      </x:c>
    </x:row>
    <x:row r="10" ht="15" hidden="0" customHeight="1">
      <x:c r="A10" s="1" t="s">
        <x:v>63</x:v>
      </x:c>
      <x:c r="B10" s="1" t="s">
        <x:v>64</x:v>
      </x:c>
      <x:c r="C10" s="3" t="n">
        <x:v>2020</x:v>
      </x:c>
      <x:c r="D10" s="4" t="n">
        <x:v>2</x:v>
      </x:c>
      <x:c r="E10" s="5" t="n">
        <x:v>117</x:v>
      </x:c>
    </x:row>
    <x:row r="11" ht="15" hidden="0" customHeight="1">
      <x:c r="A11" s="1" t="s">
        <x:v>23</x:v>
      </x:c>
      <x:c r="B11" s="1" t="s">
        <x:v>24</x:v>
      </x:c>
      <x:c r="C11" s="3" t="n">
        <x:v>2021</x:v>
      </x:c>
      <x:c r="D11" s="4" t="n">
        <x:v>500</x:v>
      </x:c>
      <x:c r="E11" s="5" t="n">
        <x:v>130856</x:v>
      </x:c>
    </x:row>
    <x:row r="12" ht="15" hidden="0" customHeight="1">
      <x:c r="A12" s="1" t="s">
        <x:v>23</x:v>
      </x:c>
      <x:c r="B12" s="1" t="s">
        <x:v>24</x:v>
      </x:c>
      <x:c r="C12" s="3" t="n">
        <x:v>2022</x:v>
      </x:c>
      <x:c r="D12" s="4" t="n">
        <x:v>1204</x:v>
      </x:c>
      <x:c r="E12" s="5" t="n">
        <x:v>34828</x:v>
      </x:c>
    </x:row>
    <x:row r="13" ht="15" hidden="0" customHeight="1">
      <x:c r="A13" s="1" t="s">
        <x:v>23</x:v>
      </x:c>
      <x:c r="B13" s="1" t="s">
        <x:v>24</x:v>
      </x:c>
      <x:c r="C13" s="3" t="n">
        <x:v>2023</x:v>
      </x:c>
      <x:c r="D13" s="4" t="n">
        <x:v>1000</x:v>
      </x:c>
      <x:c r="E13" s="5" t="n">
        <x:v>21520</x:v>
      </x:c>
    </x:row>
    <x:row r="14" ht="15" hidden="0" customHeight="1">
      <x:c r="A14" s="1" t="s">
        <x:v>23</x:v>
      </x:c>
      <x:c r="B14" s="1" t="s">
        <x:v>24</x:v>
      </x:c>
      <x:c r="C14" s="3" t="n">
        <x:v>2024</x:v>
      </x:c>
      <x:c r="D14" s="4" t="n">
        <x:v>100</x:v>
      </x:c>
      <x:c r="E14" s="5" t="n">
        <x:v>41213</x:v>
      </x:c>
    </x:row>
    <x:row r="15" ht="15" hidden="0" customHeight="1">
      <x:c r="A15" s="1" t="s">
        <x:v>59</x:v>
      </x:c>
      <x:c r="B15" s="1" t="s">
        <x:v>60</x:v>
      </x:c>
      <x:c r="C15" s="3" t="n">
        <x:v>2020</x:v>
      </x:c>
      <x:c r="D15" s="4" t="n">
        <x:v>200</x:v>
      </x:c>
      <x:c r="E15" s="5" t="n">
        <x:v>36658</x:v>
      </x:c>
    </x:row>
    <x:row r="16" ht="15" hidden="0" customHeight="1">
      <x:c r="A16" s="1" t="s">
        <x:v>59</x:v>
      </x:c>
      <x:c r="B16" s="1" t="s">
        <x:v>60</x:v>
      </x:c>
      <x:c r="C16" s="3" t="n">
        <x:v>2023</x:v>
      </x:c>
      <x:c r="D16" s="4" t="n">
        <x:v>540</x:v>
      </x:c>
      <x:c r="E16" s="5" t="n">
        <x:v>21672</x:v>
      </x:c>
    </x:row>
    <x:row r="17" ht="15" hidden="0" customHeight="1">
      <x:c r="A17" s="1" t="s">
        <x:v>31</x:v>
      </x:c>
      <x:c r="B17" s="1" t="s">
        <x:v>32</x:v>
      </x:c>
      <x:c r="C17" s="3" t="n">
        <x:v>2020</x:v>
      </x:c>
      <x:c r="D17" s="4" t="n">
        <x:v>510</x:v>
      </x:c>
      <x:c r="E17" s="5" t="n">
        <x:v>59350</x:v>
      </x:c>
    </x:row>
    <x:row r="18" ht="15" hidden="0" customHeight="1">
      <x:c r="A18" s="1" t="s">
        <x:v>31</x:v>
      </x:c>
      <x:c r="B18" s="1" t="s">
        <x:v>32</x:v>
      </x:c>
      <x:c r="C18" s="3" t="n">
        <x:v>2021</x:v>
      </x:c>
      <x:c r="D18" s="4" t="n">
        <x:v>150</x:v>
      </x:c>
      <x:c r="E18" s="5" t="n">
        <x:v>36314</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12" style="1" hidden="0" customWidth="1"/>
    <x:col min="2" max="2" width="22" style="1" hidden="0" customWidth="1"/>
    <x:col min="3" max="3" width="10" style="1" hidden="0" customWidth="1"/>
    <x:col min="4" max="5" width="16" style="1" hidden="0" customWidth="1"/>
    <x:col min="7" max="7" width="22" style="1" hidden="0" customWidth="1"/>
    <x:col min="8" max="8" width="68" style="1" hidden="0" customWidth="1"/>
  </x:cols>
  <x:sheetData>
    <x:row r="1" ht="15" hidden="0" customHeight="1">
      <x:c r="A1" s="2" t="s">
        <x:v>4</x:v>
      </x:c>
      <x:c r="B1" s="2" t="s">
        <x:v>5</x:v>
      </x:c>
      <x:c r="C1" s="2" t="s">
        <x:v>6</x:v>
      </x:c>
      <x:c r="D1" s="2" t="s">
        <x:v>7</x:v>
      </x:c>
      <x:c r="E1" s="2" t="s">
        <x:v>8</x:v>
      </x:c>
      <x:c r="G1" s="9" t="s">
        <x:v>146</x:v>
      </x:c>
      <x:c r="H1" s="9" t="s">
        <x:v>72</x:v>
      </x:c>
    </x:row>
    <x:row r="2" ht="15" hidden="0" customHeight="1">
      <x:c r="A2" s="1" t="s">
        <x:v>55</x:v>
      </x:c>
      <x:c r="B2" s="1" t="s">
        <x:v>56</x:v>
      </x:c>
      <x:c r="C2" s="3" t="n">
        <x:v>2019</x:v>
      </x:c>
      <x:c r="D2" s="4" t="n">
        <x:v>0</x:v>
      </x:c>
      <x:c r="E2" s="5" t="n">
        <x:v>42</x:v>
      </x:c>
      <x:c r="G2" s="1" t="s">
        <x:v>75</x:v>
      </x:c>
      <x:c r="H2" s="1" t="s">
        <x:v>147</x:v>
      </x:c>
    </x:row>
    <x:row r="3" ht="15" hidden="0" customHeight="1">
      <x:c r="A3" s="1" t="s">
        <x:v>55</x:v>
      </x:c>
      <x:c r="B3" s="1" t="s">
        <x:v>56</x:v>
      </x:c>
      <x:c r="C3" s="3" t="n">
        <x:v>2020</x:v>
      </x:c>
      <x:c r="D3" s="4" t="n">
        <x:v>0</x:v>
      </x:c>
      <x:c r="E3" s="5" t="n">
        <x:v>1</x:v>
      </x:c>
      <x:c r="G3" s="1" t="s">
        <x:v>0</x:v>
      </x:c>
      <x:c r="H3" s="1" t="s">
        <x:v>60</x:v>
      </x:c>
    </x:row>
    <x:row r="4" ht="15" hidden="0" customHeight="1">
      <x:c r="A4" s="1" t="s">
        <x:v>55</x:v>
      </x:c>
      <x:c r="B4" s="1" t="s">
        <x:v>56</x:v>
      </x:c>
      <x:c r="C4" s="3" t="n">
        <x:v>2021</x:v>
      </x:c>
      <x:c r="D4" s="4" t="n">
        <x:v>4</x:v>
      </x:c>
      <x:c r="E4" s="5" t="n">
        <x:v>766</x:v>
      </x:c>
      <x:c r="G4" s="1" t="s">
        <x:v>1</x:v>
      </x:c>
      <x:c r="H4" s="1" t="s">
        <x:v>148</x:v>
      </x:c>
    </x:row>
    <x:row r="5" ht="15" hidden="0" customHeight="1">
      <x:c r="A5" s="1" t="s">
        <x:v>13</x:v>
      </x:c>
      <x:c r="B5" s="1" t="s">
        <x:v>14</x:v>
      </x:c>
      <x:c r="C5" s="3" t="n">
        <x:v>2021</x:v>
      </x:c>
      <x:c r="D5" s="4" t="n">
        <x:v>2</x:v>
      </x:c>
      <x:c r="E5" s="5" t="n">
        <x:v>65</x:v>
      </x:c>
      <x:c r="G5" s="1" t="s">
        <x:v>3</x:v>
      </x:c>
      <x:c r="H5" s="1" t="s">
        <x:v>79</x:v>
      </x:c>
    </x:row>
    <x:row r="6" ht="15" hidden="0" customHeight="1">
      <x:c r="A6" s="1" t="s">
        <x:v>13</x:v>
      </x:c>
      <x:c r="B6" s="1" t="s">
        <x:v>14</x:v>
      </x:c>
      <x:c r="C6" s="3" t="n">
        <x:v>2022</x:v>
      </x:c>
      <x:c r="D6" s="4" t="n">
        <x:v>0</x:v>
      </x:c>
      <x:c r="E6" s="5" t="n">
        <x:v>2</x:v>
      </x:c>
      <x:c r="G6" s="1" t="s">
        <x:v>80</x:v>
      </x:c>
      <x:c r="H6" s="1" t="s">
        <x:v>150</x:v>
      </x:c>
    </x:row>
    <x:row r="7" ht="15" hidden="0" customHeight="1">
      <x:c r="A7" s="1" t="s">
        <x:v>13</x:v>
      </x:c>
      <x:c r="B7" s="1" t="s">
        <x:v>14</x:v>
      </x:c>
      <x:c r="C7" s="3" t="n">
        <x:v>2023</x:v>
      </x:c>
      <x:c r="D7" s="4" t="n">
        <x:v>0</x:v>
      </x:c>
      <x:c r="E7" s="5" t="n">
        <x:v>4</x:v>
      </x:c>
      <x:c r="G7" s="1" t="s">
        <x:v>151</x:v>
      </x:c>
      <x:c r="H7" s="1" t="s">
        <x:v>152</x:v>
      </x:c>
    </x:row>
    <x:row r="8" ht="15" hidden="0" customHeight="1">
      <x:c r="A8" s="1" t="s">
        <x:v>13</x:v>
      </x:c>
      <x:c r="B8" s="1" t="s">
        <x:v>14</x:v>
      </x:c>
      <x:c r="C8" s="3" t="n">
        <x:v>2024</x:v>
      </x:c>
      <x:c r="D8" s="4" t="n">
        <x:v>1</x:v>
      </x:c>
      <x:c r="E8" s="5" t="n">
        <x:v>82</x:v>
      </x:c>
      <x:c r="G8" s="1" t="s">
        <x:v>153</x:v>
      </x:c>
      <x:c r="H8" s="1" t="s">
        <x:v>90</x:v>
      </x:c>
    </x:row>
    <x:row r="9" ht="15" hidden="0" customHeight="1">
      <x:c r="A9" s="1" t="s">
        <x:v>13</x:v>
      </x:c>
      <x:c r="B9" s="1" t="s">
        <x:v>14</x:v>
      </x:c>
      <x:c r="C9" s="3" t="n">
        <x:v>2025</x:v>
      </x:c>
      <x:c r="D9" s="4" t="n">
        <x:v>0</x:v>
      </x:c>
      <x:c r="E9" s="5" t="n">
        <x:v>1</x:v>
      </x:c>
    </x:row>
    <x:row r="10" ht="15" hidden="0" customHeight="1">
      <x:c r="A10" s="1" t="s">
        <x:v>154</x:v>
      </x:c>
      <x:c r="B10" s="1" t="s">
        <x:v>155</x:v>
      </x:c>
      <x:c r="C10" s="3" t="n">
        <x:v>2021</x:v>
      </x:c>
      <x:c r="D10" s="4" t="n">
        <x:v>0</x:v>
      </x:c>
      <x:c r="E10" s="5" t="n">
        <x:v>74</x:v>
      </x:c>
    </x:row>
    <x:row r="11" ht="15" hidden="0" customHeight="1">
      <x:c r="A11" s="1" t="s">
        <x:v>39</x:v>
      </x:c>
      <x:c r="B11" s="1" t="s">
        <x:v>40</x:v>
      </x:c>
      <x:c r="C11" s="3" t="n">
        <x:v>2024</x:v>
      </x:c>
      <x:c r="D11" s="4" t="n">
        <x:v>5</x:v>
      </x:c>
      <x:c r="E11" s="5" t="n">
        <x:v>930</x:v>
      </x:c>
    </x:row>
    <x:row r="12" ht="15" hidden="0" customHeight="1">
      <x:c r="A12" s="1" t="s">
        <x:v>17</x:v>
      </x:c>
      <x:c r="B12" s="1" t="s">
        <x:v>18</x:v>
      </x:c>
      <x:c r="C12" s="3" t="n">
        <x:v>2019</x:v>
      </x:c>
      <x:c r="D12" s="4" t="n">
        <x:v>7847</x:v>
      </x:c>
      <x:c r="E12" s="5" t="n">
        <x:v>1476072</x:v>
      </x:c>
    </x:row>
    <x:row r="13" ht="15" hidden="0" customHeight="1">
      <x:c r="A13" s="1" t="s">
        <x:v>17</x:v>
      </x:c>
      <x:c r="B13" s="1" t="s">
        <x:v>18</x:v>
      </x:c>
      <x:c r="C13" s="3" t="n">
        <x:v>2020</x:v>
      </x:c>
      <x:c r="D13" s="4" t="n">
        <x:v>12014</x:v>
      </x:c>
      <x:c r="E13" s="5" t="n">
        <x:v>2190292</x:v>
      </x:c>
    </x:row>
    <x:row r="14" ht="15" hidden="0" customHeight="1">
      <x:c r="A14" s="1" t="s">
        <x:v>17</x:v>
      </x:c>
      <x:c r="B14" s="1" t="s">
        <x:v>18</x:v>
      </x:c>
      <x:c r="C14" s="3" t="n">
        <x:v>2021</x:v>
      </x:c>
      <x:c r="D14" s="4" t="n">
        <x:v>13792</x:v>
      </x:c>
      <x:c r="E14" s="5" t="n">
        <x:v>3081849</x:v>
      </x:c>
    </x:row>
    <x:row r="15" ht="15" hidden="0" customHeight="1">
      <x:c r="A15" s="1" t="s">
        <x:v>17</x:v>
      </x:c>
      <x:c r="B15" s="1" t="s">
        <x:v>18</x:v>
      </x:c>
      <x:c r="C15" s="3" t="n">
        <x:v>2022</x:v>
      </x:c>
      <x:c r="D15" s="4" t="n">
        <x:v>23019</x:v>
      </x:c>
      <x:c r="E15" s="5" t="n">
        <x:v>8683031</x:v>
      </x:c>
    </x:row>
    <x:row r="16" ht="15" hidden="0" customHeight="1">
      <x:c r="A16" s="1" t="s">
        <x:v>17</x:v>
      </x:c>
      <x:c r="B16" s="1" t="s">
        <x:v>18</x:v>
      </x:c>
      <x:c r="C16" s="3" t="n">
        <x:v>2023</x:v>
      </x:c>
      <x:c r="D16" s="4" t="n">
        <x:v>10080</x:v>
      </x:c>
      <x:c r="E16" s="5" t="n">
        <x:v>4558413</x:v>
      </x:c>
    </x:row>
    <x:row r="17" ht="15" hidden="0" customHeight="1">
      <x:c r="A17" s="1" t="s">
        <x:v>17</x:v>
      </x:c>
      <x:c r="B17" s="1" t="s">
        <x:v>18</x:v>
      </x:c>
      <x:c r="C17" s="3" t="n">
        <x:v>2024</x:v>
      </x:c>
      <x:c r="D17" s="4" t="n">
        <x:v>2660</x:v>
      </x:c>
      <x:c r="E17" s="5" t="n">
        <x:v>599209</x:v>
      </x:c>
    </x:row>
    <x:row r="18" ht="15" hidden="0" customHeight="1">
      <x:c r="A18" s="1" t="s">
        <x:v>67</x:v>
      </x:c>
      <x:c r="B18" s="1" t="s">
        <x:v>68</x:v>
      </x:c>
      <x:c r="C18" s="3" t="n">
        <x:v>2019</x:v>
      </x:c>
      <x:c r="D18" s="4" t="n">
        <x:v>0</x:v>
      </x:c>
      <x:c r="E18" s="5" t="n">
        <x:v>7</x:v>
      </x:c>
    </x:row>
    <x:row r="19" ht="15" hidden="0" customHeight="1">
      <x:c r="A19" s="1" t="s">
        <x:v>67</x:v>
      </x:c>
      <x:c r="B19" s="1" t="s">
        <x:v>68</x:v>
      </x:c>
      <x:c r="C19" s="3" t="n">
        <x:v>2021</x:v>
      </x:c>
      <x:c r="D19" s="4" t="n">
        <x:v>0</x:v>
      </x:c>
      <x:c r="E19" s="5" t="n">
        <x:v>76</x:v>
      </x:c>
    </x:row>
    <x:row r="20" ht="15" hidden="0" customHeight="1">
      <x:c r="A20" s="1" t="s">
        <x:v>67</x:v>
      </x:c>
      <x:c r="B20" s="1" t="s">
        <x:v>68</x:v>
      </x:c>
      <x:c r="C20" s="3" t="n">
        <x:v>2023</x:v>
      </x:c>
      <x:c r="D20" s="4" t="n">
        <x:v>0</x:v>
      </x:c>
      <x:c r="E20" s="5" t="n">
        <x:v>1</x:v>
      </x:c>
    </x:row>
    <x:row r="21" ht="15" hidden="0" customHeight="1">
      <x:c r="A21" s="1" t="s">
        <x:v>67</x:v>
      </x:c>
      <x:c r="B21" s="1" t="s">
        <x:v>68</x:v>
      </x:c>
      <x:c r="C21" s="3" t="n">
        <x:v>2024</x:v>
      </x:c>
      <x:c r="D21" s="4" t="n">
        <x:v>0</x:v>
      </x:c>
      <x:c r="E21" s="5" t="n">
        <x:v>94</x:v>
      </x:c>
    </x:row>
    <x:row r="22" ht="15" hidden="0" customHeight="1">
      <x:c r="A22" s="1" t="s">
        <x:v>149</x:v>
      </x:c>
      <x:c r="B22" s="1" t="s">
        <x:v>9</x:v>
      </x:c>
      <x:c r="C22" s="3" t="n">
        <x:v>2019</x:v>
      </x:c>
      <x:c r="D22" s="4" t="n">
        <x:v>19</x:v>
      </x:c>
      <x:c r="E22" s="5" t="n">
        <x:v>4134</x:v>
      </x:c>
    </x:row>
    <x:row r="23" ht="15" hidden="0" customHeight="1">
      <x:c r="A23" s="1" t="s">
        <x:v>149</x:v>
      </x:c>
      <x:c r="B23" s="1" t="s">
        <x:v>9</x:v>
      </x:c>
      <x:c r="C23" s="3" t="n">
        <x:v>2020</x:v>
      </x:c>
      <x:c r="D23" s="4" t="n">
        <x:v>3</x:v>
      </x:c>
      <x:c r="E23" s="5" t="n">
        <x:v>957</x:v>
      </x:c>
    </x:row>
    <x:row r="24" ht="15" hidden="0" customHeight="1">
      <x:c r="A24" s="1" t="s">
        <x:v>149</x:v>
      </x:c>
      <x:c r="B24" s="1" t="s">
        <x:v>9</x:v>
      </x:c>
      <x:c r="C24" s="3" t="n">
        <x:v>2021</x:v>
      </x:c>
      <x:c r="D24" s="4" t="n">
        <x:v>174</x:v>
      </x:c>
      <x:c r="E24" s="5" t="n">
        <x:v>38781</x:v>
      </x:c>
    </x:row>
    <x:row r="25" ht="15" hidden="0" customHeight="1">
      <x:c r="A25" s="1" t="s">
        <x:v>149</x:v>
      </x:c>
      <x:c r="B25" s="1" t="s">
        <x:v>9</x:v>
      </x:c>
      <x:c r="C25" s="3" t="n">
        <x:v>2022</x:v>
      </x:c>
      <x:c r="D25" s="4" t="n">
        <x:v>9</x:v>
      </x:c>
      <x:c r="E25" s="5" t="n">
        <x:v>2164</x:v>
      </x:c>
    </x:row>
    <x:row r="26" ht="15" hidden="0" customHeight="1">
      <x:c r="A26" s="1" t="s">
        <x:v>149</x:v>
      </x:c>
      <x:c r="B26" s="1" t="s">
        <x:v>9</x:v>
      </x:c>
      <x:c r="C26" s="3" t="n">
        <x:v>2023</x:v>
      </x:c>
      <x:c r="D26" s="4" t="n">
        <x:v>9</x:v>
      </x:c>
      <x:c r="E26" s="5" t="n">
        <x:v>4029</x:v>
      </x:c>
    </x:row>
    <x:row r="27" ht="15" hidden="0" customHeight="1">
      <x:c r="A27" s="1" t="s">
        <x:v>149</x:v>
      </x:c>
      <x:c r="B27" s="1" t="s">
        <x:v>9</x:v>
      </x:c>
      <x:c r="C27" s="3" t="n">
        <x:v>2024</x:v>
      </x:c>
      <x:c r="D27" s="4" t="n">
        <x:v>21</x:v>
      </x:c>
      <x:c r="E27" s="5" t="n">
        <x:v>8624</x:v>
      </x:c>
    </x:row>
    <x:row r="28" ht="15" hidden="0" customHeight="1">
      <x:c r="A28" s="1" t="s">
        <x:v>149</x:v>
      </x:c>
      <x:c r="B28" s="1" t="s">
        <x:v>9</x:v>
      </x:c>
      <x:c r="C28" s="3" t="n">
        <x:v>2025</x:v>
      </x:c>
      <x:c r="D28" s="4" t="n">
        <x:v>507</x:v>
      </x:c>
      <x:c r="E28" s="5" t="n">
        <x:v>285502</x:v>
      </x:c>
    </x:row>
    <x:row r="29" ht="15" hidden="0" customHeight="1">
      <x:c r="A29" s="1" t="s">
        <x:v>156</x:v>
      </x:c>
      <x:c r="B29" s="1" t="s">
        <x:v>157</x:v>
      </x:c>
      <x:c r="C29" s="3" t="n">
        <x:v>2019</x:v>
      </x:c>
      <x:c r="D29" s="4" t="n">
        <x:v>0</x:v>
      </x:c>
      <x:c r="E29" s="5" t="n">
        <x:v>39</x:v>
      </x:c>
    </x:row>
    <x:row r="30" ht="15" hidden="0" customHeight="1">
      <x:c r="A30" s="1" t="s">
        <x:v>156</x:v>
      </x:c>
      <x:c r="B30" s="1" t="s">
        <x:v>157</x:v>
      </x:c>
      <x:c r="C30" s="3" t="n">
        <x:v>2021</x:v>
      </x:c>
      <x:c r="D30" s="4" t="n">
        <x:v>2</x:v>
      </x:c>
      <x:c r="E30" s="5" t="n">
        <x:v>360</x:v>
      </x:c>
    </x:row>
    <x:row r="31" ht="15" hidden="0" customHeight="1">
      <x:c r="A31" s="1" t="s">
        <x:v>158</x:v>
      </x:c>
      <x:c r="B31" s="1" t="s">
        <x:v>159</x:v>
      </x:c>
      <x:c r="C31" s="3" t="n">
        <x:v>2024</x:v>
      </x:c>
      <x:c r="D31" s="4" t="n">
        <x:v>4</x:v>
      </x:c>
      <x:c r="E31" s="5" t="n">
        <x:v>313</x:v>
      </x:c>
    </x:row>
    <x:row r="32" ht="15" hidden="0" customHeight="1">
      <x:c r="A32" s="1" t="s">
        <x:v>160</x:v>
      </x:c>
      <x:c r="B32" s="1" t="s">
        <x:v>161</x:v>
      </x:c>
      <x:c r="C32" s="3" t="n">
        <x:v>2021</x:v>
      </x:c>
      <x:c r="D32" s="4" t="n">
        <x:v>1</x:v>
      </x:c>
      <x:c r="E32" s="5" t="n">
        <x:v>125</x:v>
      </x:c>
    </x:row>
    <x:row r="33" ht="15" hidden="0" customHeight="1">
      <x:c r="A33" s="1" t="s">
        <x:v>162</x:v>
      </x:c>
      <x:c r="B33" s="1" t="s">
        <x:v>163</x:v>
      </x:c>
      <x:c r="C33" s="3" t="n">
        <x:v>2019</x:v>
      </x:c>
      <x:c r="D33" s="4" t="n">
        <x:v>0</x:v>
      </x:c>
      <x:c r="E33" s="5" t="n">
        <x:v>29</x:v>
      </x:c>
    </x:row>
    <x:row r="34" ht="15" hidden="0" customHeight="1">
      <x:c r="A34" s="1" t="s">
        <x:v>162</x:v>
      </x:c>
      <x:c r="B34" s="1" t="s">
        <x:v>163</x:v>
      </x:c>
      <x:c r="C34" s="3" t="n">
        <x:v>2020</x:v>
      </x:c>
      <x:c r="D34" s="4" t="n">
        <x:v>0</x:v>
      </x:c>
      <x:c r="E34" s="5" t="n">
        <x:v>1</x:v>
      </x:c>
    </x:row>
    <x:row r="35" ht="15" hidden="0" customHeight="1">
      <x:c r="A35" s="1" t="s">
        <x:v>162</x:v>
      </x:c>
      <x:c r="B35" s="1" t="s">
        <x:v>163</x:v>
      </x:c>
      <x:c r="C35" s="3" t="n">
        <x:v>2021</x:v>
      </x:c>
      <x:c r="D35" s="4" t="n">
        <x:v>2</x:v>
      </x:c>
      <x:c r="E35" s="5" t="n">
        <x:v>455</x:v>
      </x:c>
    </x:row>
    <x:row r="36" ht="15" hidden="0" customHeight="1">
      <x:c r="A36" s="1" t="s">
        <x:v>164</x:v>
      </x:c>
      <x:c r="B36" s="1" t="s">
        <x:v>165</x:v>
      </x:c>
      <x:c r="C36" s="3" t="n">
        <x:v>2019</x:v>
      </x:c>
      <x:c r="D36" s="4" t="n">
        <x:v>0</x:v>
      </x:c>
      <x:c r="E36" s="5" t="n">
        <x:v>26</x:v>
      </x:c>
    </x:row>
    <x:row r="37" ht="15" hidden="0" customHeight="1">
      <x:c r="A37" s="1" t="s">
        <x:v>164</x:v>
      </x:c>
      <x:c r="B37" s="1" t="s">
        <x:v>165</x:v>
      </x:c>
      <x:c r="C37" s="3" t="n">
        <x:v>2021</x:v>
      </x:c>
      <x:c r="D37" s="4" t="n">
        <x:v>2</x:v>
      </x:c>
      <x:c r="E37" s="5" t="n">
        <x:v>456</x:v>
      </x:c>
    </x:row>
    <x:row r="38" ht="15" hidden="0" customHeight="1">
      <x:c r="A38" s="1" t="s">
        <x:v>19</x:v>
      </x:c>
      <x:c r="B38" s="1" t="s">
        <x:v>20</x:v>
      </x:c>
      <x:c r="C38" s="3" t="n">
        <x:v>2019</x:v>
      </x:c>
      <x:c r="D38" s="4" t="n">
        <x:v>0</x:v>
      </x:c>
      <x:c r="E38" s="5" t="n">
        <x:v>39</x:v>
      </x:c>
    </x:row>
    <x:row r="39" ht="15" hidden="0" customHeight="1">
      <x:c r="A39" s="1" t="s">
        <x:v>19</x:v>
      </x:c>
      <x:c r="B39" s="1" t="s">
        <x:v>20</x:v>
      </x:c>
      <x:c r="C39" s="3" t="n">
        <x:v>2020</x:v>
      </x:c>
      <x:c r="D39" s="4" t="n">
        <x:v>0</x:v>
      </x:c>
      <x:c r="E39" s="5" t="n">
        <x:v>1</x:v>
      </x:c>
    </x:row>
    <x:row r="40" ht="15" hidden="0" customHeight="1">
      <x:c r="A40" s="1" t="s">
        <x:v>19</x:v>
      </x:c>
      <x:c r="B40" s="1" t="s">
        <x:v>20</x:v>
      </x:c>
      <x:c r="C40" s="3" t="n">
        <x:v>2021</x:v>
      </x:c>
      <x:c r="D40" s="4" t="n">
        <x:v>11</x:v>
      </x:c>
      <x:c r="E40" s="5" t="n">
        <x:v>2323</x:v>
      </x:c>
    </x:row>
    <x:row r="41" ht="15" hidden="0" customHeight="1">
      <x:c r="A41" s="1" t="s">
        <x:v>21</x:v>
      </x:c>
      <x:c r="B41" s="1" t="s">
        <x:v>22</x:v>
      </x:c>
      <x:c r="C41" s="3" t="n">
        <x:v>2019</x:v>
      </x:c>
      <x:c r="D41" s="4" t="n">
        <x:v>0</x:v>
      </x:c>
      <x:c r="E41" s="5" t="n">
        <x:v>240</x:v>
      </x:c>
    </x:row>
    <x:row r="42" ht="15" hidden="0" customHeight="1">
      <x:c r="A42" s="1" t="s">
        <x:v>21</x:v>
      </x:c>
      <x:c r="B42" s="1" t="s">
        <x:v>22</x:v>
      </x:c>
      <x:c r="C42" s="3" t="n">
        <x:v>2020</x:v>
      </x:c>
      <x:c r="D42" s="4" t="n">
        <x:v>0</x:v>
      </x:c>
      <x:c r="E42" s="5" t="n">
        <x:v>5</x:v>
      </x:c>
    </x:row>
    <x:row r="43" ht="15" hidden="0" customHeight="1">
      <x:c r="A43" s="1" t="s">
        <x:v>21</x:v>
      </x:c>
      <x:c r="B43" s="1" t="s">
        <x:v>22</x:v>
      </x:c>
      <x:c r="C43" s="3" t="n">
        <x:v>2021</x:v>
      </x:c>
      <x:c r="D43" s="4" t="n">
        <x:v>10</x:v>
      </x:c>
      <x:c r="E43" s="5" t="n">
        <x:v>2114</x:v>
      </x:c>
    </x:row>
    <x:row r="44" ht="15" hidden="0" customHeight="1">
      <x:c r="A44" s="1" t="s">
        <x:v>166</x:v>
      </x:c>
      <x:c r="B44" s="1" t="s">
        <x:v>167</x:v>
      </x:c>
      <x:c r="C44" s="3" t="n">
        <x:v>2021</x:v>
      </x:c>
      <x:c r="D44" s="4" t="n">
        <x:v>0</x:v>
      </x:c>
      <x:c r="E44" s="5" t="n">
        <x:v>8</x:v>
      </x:c>
    </x:row>
    <x:row r="45" ht="15" hidden="0" customHeight="1">
      <x:c r="A45" s="1" t="s">
        <x:v>166</x:v>
      </x:c>
      <x:c r="B45" s="1" t="s">
        <x:v>167</x:v>
      </x:c>
      <x:c r="C45" s="3" t="n">
        <x:v>2022</x:v>
      </x:c>
      <x:c r="D45" s="4" t="n">
        <x:v>0</x:v>
      </x:c>
      <x:c r="E45" s="5" t="n">
        <x:v>1</x:v>
      </x:c>
    </x:row>
    <x:row r="46" ht="15" hidden="0" customHeight="1">
      <x:c r="A46" s="1" t="s">
        <x:v>168</x:v>
      </x:c>
      <x:c r="B46" s="1" t="s">
        <x:v>169</x:v>
      </x:c>
      <x:c r="C46" s="3" t="n">
        <x:v>2021</x:v>
      </x:c>
      <x:c r="D46" s="4" t="n">
        <x:v>0</x:v>
      </x:c>
      <x:c r="E46" s="5" t="n">
        <x:v>139</x:v>
      </x:c>
    </x:row>
    <x:row r="47" ht="15" hidden="0" customHeight="1">
      <x:c r="A47" s="1" t="s">
        <x:v>170</x:v>
      </x:c>
      <x:c r="B47" s="1" t="s">
        <x:v>171</x:v>
      </x:c>
      <x:c r="C47" s="3" t="n">
        <x:v>2021</x:v>
      </x:c>
      <x:c r="D47" s="4" t="n">
        <x:v>0</x:v>
      </x:c>
      <x:c r="E47" s="5" t="n">
        <x:v>51</x:v>
      </x:c>
    </x:row>
    <x:row r="48" ht="15" hidden="0" customHeight="1">
      <x:c r="A48" s="1" t="s">
        <x:v>170</x:v>
      </x:c>
      <x:c r="B48" s="1" t="s">
        <x:v>171</x:v>
      </x:c>
      <x:c r="C48" s="3" t="n">
        <x:v>2022</x:v>
      </x:c>
      <x:c r="D48" s="4" t="n">
        <x:v>0</x:v>
      </x:c>
      <x:c r="E48" s="5" t="n">
        <x:v>1</x:v>
      </x:c>
    </x:row>
    <x:row r="49" ht="15" hidden="0" customHeight="1">
      <x:c r="A49" s="1" t="s">
        <x:v>63</x:v>
      </x:c>
      <x:c r="B49" s="1" t="s">
        <x:v>64</x:v>
      </x:c>
      <x:c r="C49" s="3" t="n">
        <x:v>2019</x:v>
      </x:c>
      <x:c r="D49" s="4" t="n">
        <x:v>0</x:v>
      </x:c>
      <x:c r="E49" s="5" t="n">
        <x:v>39</x:v>
      </x:c>
    </x:row>
    <x:row r="50" ht="15" hidden="0" customHeight="1">
      <x:c r="A50" s="1" t="s">
        <x:v>63</x:v>
      </x:c>
      <x:c r="B50" s="1" t="s">
        <x:v>64</x:v>
      </x:c>
      <x:c r="C50" s="3" t="n">
        <x:v>2020</x:v>
      </x:c>
      <x:c r="D50" s="4" t="n">
        <x:v>0</x:v>
      </x:c>
      <x:c r="E50" s="5" t="n">
        <x:v>1</x:v>
      </x:c>
    </x:row>
    <x:row r="51" ht="15" hidden="0" customHeight="1">
      <x:c r="A51" s="1" t="s">
        <x:v>63</x:v>
      </x:c>
      <x:c r="B51" s="1" t="s">
        <x:v>64</x:v>
      </x:c>
      <x:c r="C51" s="3" t="n">
        <x:v>2021</x:v>
      </x:c>
      <x:c r="D51" s="4" t="n">
        <x:v>4</x:v>
      </x:c>
      <x:c r="E51" s="5" t="n">
        <x:v>859</x:v>
      </x:c>
    </x:row>
    <x:row r="52" ht="15" hidden="0" customHeight="1">
      <x:c r="A52" s="1" t="s">
        <x:v>63</x:v>
      </x:c>
      <x:c r="B52" s="1" t="s">
        <x:v>64</x:v>
      </x:c>
      <x:c r="C52" s="3" t="n">
        <x:v>2024</x:v>
      </x:c>
      <x:c r="D52" s="4" t="n">
        <x:v>0</x:v>
      </x:c>
      <x:c r="E52" s="5" t="n">
        <x:v>3</x:v>
      </x:c>
    </x:row>
    <x:row r="53" ht="15" hidden="0" customHeight="1">
      <x:c r="A53" s="1" t="s">
        <x:v>45</x:v>
      </x:c>
      <x:c r="B53" s="1" t="s">
        <x:v>46</x:v>
      </x:c>
      <x:c r="C53" s="3" t="n">
        <x:v>2021</x:v>
      </x:c>
      <x:c r="D53" s="4" t="n">
        <x:v>2</x:v>
      </x:c>
      <x:c r="E53" s="5" t="n">
        <x:v>322</x:v>
      </x:c>
    </x:row>
    <x:row r="54" ht="15" hidden="0" customHeight="1">
      <x:c r="A54" s="1" t="s">
        <x:v>45</x:v>
      </x:c>
      <x:c r="B54" s="1" t="s">
        <x:v>46</x:v>
      </x:c>
      <x:c r="C54" s="3" t="n">
        <x:v>2023</x:v>
      </x:c>
      <x:c r="D54" s="4" t="n">
        <x:v>352</x:v>
      </x:c>
      <x:c r="E54" s="5" t="n">
        <x:v>138038</x:v>
      </x:c>
    </x:row>
    <x:row r="55" ht="15" hidden="0" customHeight="1">
      <x:c r="A55" s="1" t="s">
        <x:v>45</x:v>
      </x:c>
      <x:c r="B55" s="1" t="s">
        <x:v>46</x:v>
      </x:c>
      <x:c r="C55" s="3" t="n">
        <x:v>2024</x:v>
      </x:c>
      <x:c r="D55" s="4" t="n">
        <x:v>124</x:v>
      </x:c>
      <x:c r="E55" s="5" t="n">
        <x:v>44912</x:v>
      </x:c>
    </x:row>
    <x:row r="56" ht="15" hidden="0" customHeight="1">
      <x:c r="A56" s="1" t="s">
        <x:v>49</x:v>
      </x:c>
      <x:c r="B56" s="1" t="s">
        <x:v>50</x:v>
      </x:c>
      <x:c r="C56" s="3" t="n">
        <x:v>2021</x:v>
      </x:c>
      <x:c r="D56" s="4" t="n">
        <x:v>0</x:v>
      </x:c>
      <x:c r="E56" s="5" t="n">
        <x:v>92</x:v>
      </x:c>
    </x:row>
    <x:row r="57" ht="15" hidden="0" customHeight="1">
      <x:c r="A57" s="1" t="s">
        <x:v>23</x:v>
      </x:c>
      <x:c r="B57" s="1" t="s">
        <x:v>24</x:v>
      </x:c>
      <x:c r="C57" s="3" t="n">
        <x:v>2019</x:v>
      </x:c>
      <x:c r="D57" s="4" t="n">
        <x:v>0</x:v>
      </x:c>
      <x:c r="E57" s="5" t="n">
        <x:v>12</x:v>
      </x:c>
    </x:row>
    <x:row r="58" ht="15" hidden="0" customHeight="1">
      <x:c r="A58" s="1" t="s">
        <x:v>23</x:v>
      </x:c>
      <x:c r="B58" s="1" t="s">
        <x:v>24</x:v>
      </x:c>
      <x:c r="C58" s="3" t="n">
        <x:v>2021</x:v>
      </x:c>
      <x:c r="D58" s="4" t="n">
        <x:v>0</x:v>
      </x:c>
      <x:c r="E58" s="5" t="n">
        <x:v>51</x:v>
      </x:c>
    </x:row>
    <x:row r="59" ht="15" hidden="0" customHeight="1">
      <x:c r="A59" s="1" t="s">
        <x:v>172</x:v>
      </x:c>
      <x:c r="B59" s="1" t="s">
        <x:v>173</x:v>
      </x:c>
      <x:c r="C59" s="3" t="n">
        <x:v>2021</x:v>
      </x:c>
      <x:c r="D59" s="4" t="n">
        <x:v>0</x:v>
      </x:c>
      <x:c r="E59" s="5" t="n">
        <x:v>2</x:v>
      </x:c>
    </x:row>
    <x:row r="60" ht="15" hidden="0" customHeight="1">
      <x:c r="A60" s="1" t="s">
        <x:v>174</x:v>
      </x:c>
      <x:c r="B60" s="1" t="s">
        <x:v>175</x:v>
      </x:c>
      <x:c r="C60" s="3" t="n">
        <x:v>2024</x:v>
      </x:c>
      <x:c r="D60" s="4" t="n">
        <x:v>0</x:v>
      </x:c>
      <x:c r="E60" s="5" t="n">
        <x:v>4</x:v>
      </x:c>
    </x:row>
    <x:row r="61" ht="15" hidden="0" customHeight="1">
      <x:c r="A61" s="1" t="s">
        <x:v>51</x:v>
      </x:c>
      <x:c r="B61" s="1" t="s">
        <x:v>52</x:v>
      </x:c>
      <x:c r="C61" s="3" t="n">
        <x:v>2019</x:v>
      </x:c>
      <x:c r="D61" s="4" t="n">
        <x:v>0</x:v>
      </x:c>
      <x:c r="E61" s="5" t="n">
        <x:v>26</x:v>
      </x:c>
    </x:row>
    <x:row r="62" ht="15" hidden="0" customHeight="1">
      <x:c r="A62" s="1" t="s">
        <x:v>51</x:v>
      </x:c>
      <x:c r="B62" s="1" t="s">
        <x:v>52</x:v>
      </x:c>
      <x:c r="C62" s="3" t="n">
        <x:v>2020</x:v>
      </x:c>
      <x:c r="D62" s="4" t="n">
        <x:v>0</x:v>
      </x:c>
      <x:c r="E62" s="5" t="n">
        <x:v>1</x:v>
      </x:c>
    </x:row>
    <x:row r="63" ht="15" hidden="0" customHeight="1">
      <x:c r="A63" s="1" t="s">
        <x:v>51</x:v>
      </x:c>
      <x:c r="B63" s="1" t="s">
        <x:v>52</x:v>
      </x:c>
      <x:c r="C63" s="3" t="n">
        <x:v>2021</x:v>
      </x:c>
      <x:c r="D63" s="4" t="n">
        <x:v>4</x:v>
      </x:c>
      <x:c r="E63" s="5" t="n">
        <x:v>742</x:v>
      </x:c>
    </x:row>
    <x:row r="64" ht="15" hidden="0" customHeight="1">
      <x:c r="A64" s="1" t="s">
        <x:v>176</x:v>
      </x:c>
      <x:c r="B64" s="1" t="s">
        <x:v>177</x:v>
      </x:c>
      <x:c r="C64" s="3" t="n">
        <x:v>2019</x:v>
      </x:c>
      <x:c r="D64" s="4" t="n">
        <x:v>0</x:v>
      </x:c>
      <x:c r="E64" s="5" t="n">
        <x:v>6</x:v>
      </x:c>
    </x:row>
    <x:row r="65" ht="15" hidden="0" customHeight="1">
      <x:c r="A65" s="1" t="s">
        <x:v>176</x:v>
      </x:c>
      <x:c r="B65" s="1" t="s">
        <x:v>177</x:v>
      </x:c>
      <x:c r="C65" s="3" t="n">
        <x:v>2021</x:v>
      </x:c>
      <x:c r="D65" s="4" t="n">
        <x:v>1</x:v>
      </x:c>
      <x:c r="E65" s="5" t="n">
        <x:v>191</x:v>
      </x:c>
    </x:row>
    <x:row r="66" ht="15" hidden="0" customHeight="1">
      <x:c r="A66" s="1" t="s">
        <x:v>69</x:v>
      </x:c>
      <x:c r="B66" s="1" t="s">
        <x:v>70</x:v>
      </x:c>
      <x:c r="C66" s="3" t="n">
        <x:v>2021</x:v>
      </x:c>
      <x:c r="D66" s="4" t="n">
        <x:v>0</x:v>
      </x:c>
      <x:c r="E66" s="5" t="n">
        <x:v>24</x:v>
      </x:c>
    </x:row>
    <x:row r="67" ht="15" hidden="0" customHeight="1">
      <x:c r="A67" s="1" t="s">
        <x:v>69</x:v>
      </x:c>
      <x:c r="B67" s="1" t="s">
        <x:v>70</x:v>
      </x:c>
      <x:c r="C67" s="3" t="n">
        <x:v>2023</x:v>
      </x:c>
      <x:c r="D67" s="4" t="n">
        <x:v>0</x:v>
      </x:c>
      <x:c r="E67" s="5" t="n">
        <x:v>1</x:v>
      </x:c>
    </x:row>
    <x:row r="68" ht="15" hidden="0" customHeight="1">
      <x:c r="A68" s="1" t="s">
        <x:v>25</x:v>
      </x:c>
      <x:c r="B68" s="1" t="s">
        <x:v>26</x:v>
      </x:c>
      <x:c r="C68" s="3" t="n">
        <x:v>2020</x:v>
      </x:c>
      <x:c r="D68" s="4" t="n">
        <x:v>903</x:v>
      </x:c>
      <x:c r="E68" s="5" t="n">
        <x:v>121468</x:v>
      </x:c>
    </x:row>
    <x:row r="69" ht="15" hidden="0" customHeight="1">
      <x:c r="A69" s="1" t="s">
        <x:v>25</x:v>
      </x:c>
      <x:c r="B69" s="1" t="s">
        <x:v>26</x:v>
      </x:c>
      <x:c r="C69" s="3" t="n">
        <x:v>2021</x:v>
      </x:c>
      <x:c r="D69" s="4" t="n">
        <x:v>453</x:v>
      </x:c>
      <x:c r="E69" s="5" t="n">
        <x:v>73398</x:v>
      </x:c>
    </x:row>
    <x:row r="70" ht="15" hidden="0" customHeight="1">
      <x:c r="A70" s="1" t="s">
        <x:v>25</x:v>
      </x:c>
      <x:c r="B70" s="1" t="s">
        <x:v>26</x:v>
      </x:c>
      <x:c r="C70" s="3" t="n">
        <x:v>2023</x:v>
      </x:c>
      <x:c r="D70" s="4" t="n">
        <x:v>1331</x:v>
      </x:c>
      <x:c r="E70" s="5" t="n">
        <x:v>401858</x:v>
      </x:c>
    </x:row>
    <x:row r="71" ht="15" hidden="0" customHeight="1">
      <x:c r="A71" s="1" t="s">
        <x:v>25</x:v>
      </x:c>
      <x:c r="B71" s="1" t="s">
        <x:v>26</x:v>
      </x:c>
      <x:c r="C71" s="3" t="n">
        <x:v>2024</x:v>
      </x:c>
      <x:c r="D71" s="4" t="n">
        <x:v>2886</x:v>
      </x:c>
      <x:c r="E71" s="5" t="n">
        <x:v>1481959</x:v>
      </x:c>
    </x:row>
    <x:row r="72" ht="15" hidden="0" customHeight="1">
      <x:c r="A72" s="1" t="s">
        <x:v>178</x:v>
      </x:c>
      <x:c r="B72" s="1" t="s">
        <x:v>179</x:v>
      </x:c>
      <x:c r="C72" s="3" t="n">
        <x:v>2019</x:v>
      </x:c>
      <x:c r="D72" s="4" t="n">
        <x:v>0</x:v>
      </x:c>
      <x:c r="E72" s="5" t="n">
        <x:v>16</x:v>
      </x:c>
    </x:row>
    <x:row r="73" ht="15" hidden="0" customHeight="1">
      <x:c r="A73" s="1" t="s">
        <x:v>178</x:v>
      </x:c>
      <x:c r="B73" s="1" t="s">
        <x:v>179</x:v>
      </x:c>
      <x:c r="C73" s="3" t="n">
        <x:v>2020</x:v>
      </x:c>
      <x:c r="D73" s="4" t="n">
        <x:v>0</x:v>
      </x:c>
      <x:c r="E73" s="5" t="n">
        <x:v>1</x:v>
      </x:c>
    </x:row>
    <x:row r="74" ht="15" hidden="0" customHeight="1">
      <x:c r="A74" s="1" t="s">
        <x:v>178</x:v>
      </x:c>
      <x:c r="B74" s="1" t="s">
        <x:v>179</x:v>
      </x:c>
      <x:c r="C74" s="3" t="n">
        <x:v>2021</x:v>
      </x:c>
      <x:c r="D74" s="4" t="n">
        <x:v>1</x:v>
      </x:c>
      <x:c r="E74" s="5" t="n">
        <x:v>114</x:v>
      </x:c>
    </x:row>
    <x:row r="75" ht="15" hidden="0" customHeight="1">
      <x:c r="A75" s="1" t="s">
        <x:v>180</x:v>
      </x:c>
      <x:c r="B75" s="1" t="s">
        <x:v>181</x:v>
      </x:c>
      <x:c r="C75" s="3" t="n">
        <x:v>2019</x:v>
      </x:c>
      <x:c r="D75" s="4" t="n">
        <x:v>0</x:v>
      </x:c>
      <x:c r="E75" s="5" t="n">
        <x:v>14</x:v>
      </x:c>
    </x:row>
    <x:row r="76" ht="15" hidden="0" customHeight="1">
      <x:c r="A76" s="1" t="s">
        <x:v>180</x:v>
      </x:c>
      <x:c r="B76" s="1" t="s">
        <x:v>181</x:v>
      </x:c>
      <x:c r="C76" s="3" t="n">
        <x:v>2021</x:v>
      </x:c>
      <x:c r="D76" s="4" t="n">
        <x:v>3</x:v>
      </x:c>
      <x:c r="E76" s="5" t="n">
        <x:v>572</x:v>
      </x:c>
    </x:row>
    <x:row r="77" ht="15" hidden="0" customHeight="1">
      <x:c r="A77" s="1" t="s">
        <x:v>29</x:v>
      </x:c>
      <x:c r="B77" s="1" t="s">
        <x:v>30</x:v>
      </x:c>
      <x:c r="C77" s="3" t="n">
        <x:v>2019</x:v>
      </x:c>
      <x:c r="D77" s="4" t="n">
        <x:v>0</x:v>
      </x:c>
      <x:c r="E77" s="5" t="n">
        <x:v>1</x:v>
      </x:c>
    </x:row>
    <x:row r="78" ht="15" hidden="0" customHeight="1">
      <x:c r="A78" s="1" t="s">
        <x:v>29</x:v>
      </x:c>
      <x:c r="B78" s="1" t="s">
        <x:v>30</x:v>
      </x:c>
      <x:c r="C78" s="3" t="n">
        <x:v>2021</x:v>
      </x:c>
      <x:c r="D78" s="4" t="n">
        <x:v>0</x:v>
      </x:c>
      <x:c r="E78" s="5" t="n">
        <x:v>46</x:v>
      </x:c>
    </x:row>
    <x:row r="79" ht="15" hidden="0" customHeight="1">
      <x:c r="A79" s="1" t="s">
        <x:v>31</x:v>
      </x:c>
      <x:c r="B79" s="1" t="s">
        <x:v>32</x:v>
      </x:c>
      <x:c r="C79" s="3" t="n">
        <x:v>2024</x:v>
      </x:c>
      <x:c r="D79" s="4" t="n">
        <x:v>100</x:v>
      </x:c>
      <x:c r="E79" s="5" t="n">
        <x:v>41118</x:v>
      </x:c>
    </x:row>
    <x:row r="80" ht="15" hidden="0" customHeight="1">
      <x:c r="A80" s="1" t="s">
        <x:v>33</x:v>
      </x:c>
      <x:c r="B80" s="1" t="s">
        <x:v>34</x:v>
      </x:c>
      <x:c r="C80" s="3" t="n">
        <x:v>2019</x:v>
      </x:c>
      <x:c r="D80" s="4" t="n">
        <x:v>8</x:v>
      </x:c>
      <x:c r="E80" s="5" t="n">
        <x:v>1216</x:v>
      </x:c>
    </x:row>
    <x:row r="81" ht="15" hidden="0" customHeight="1">
      <x:c r="A81" s="1" t="s">
        <x:v>35</x:v>
      </x:c>
      <x:c r="B81" s="1" t="s">
        <x:v>36</x:v>
      </x:c>
      <x:c r="C81" s="3" t="n">
        <x:v>2019</x:v>
      </x:c>
      <x:c r="D81" s="4" t="n">
        <x:v>9</x:v>
      </x:c>
      <x:c r="E81" s="5" t="n">
        <x:v>2982</x:v>
      </x:c>
    </x:row>
    <x:row r="82" ht="15" hidden="0" customHeight="1">
      <x:c r="A82" s="1" t="s">
        <x:v>35</x:v>
      </x:c>
      <x:c r="B82" s="1" t="s">
        <x:v>36</x:v>
      </x:c>
      <x:c r="C82" s="3" t="n">
        <x:v>2023</x:v>
      </x:c>
      <x:c r="D82" s="4" t="n">
        <x:v>25</x:v>
      </x:c>
      <x:c r="E82" s="5" t="n">
        <x:v>9225</x:v>
      </x:c>
    </x:row>
    <x:row r="83" ht="15" hidden="0" customHeight="1">
      <x:c r="A83" s="1" t="s">
        <x:v>35</x:v>
      </x:c>
      <x:c r="B83" s="1" t="s">
        <x:v>36</x:v>
      </x:c>
      <x:c r="C83" s="3" t="n">
        <x:v>2024</x:v>
      </x:c>
      <x:c r="D83" s="4" t="n">
        <x:v>50</x:v>
      </x:c>
      <x:c r="E83" s="5" t="n">
        <x:v>24350</x:v>
      </x:c>
    </x:row>
    <x:row r="84" ht="15" hidden="0" customHeight="1">
      <x:c r="A84" s="1" t="s">
        <x:v>35</x:v>
      </x:c>
      <x:c r="B84" s="1" t="s">
        <x:v>36</x:v>
      </x:c>
      <x:c r="C84" s="3" t="n">
        <x:v>2025</x:v>
      </x:c>
      <x:c r="D84" s="4" t="n">
        <x:v>2</x:v>
      </x:c>
      <x:c r="E84" s="5" t="n">
        <x:v>89</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44" style="1" hidden="0" customWidth="1"/>
    <x:col min="2" max="2" width="80" style="1" hidden="0" customWidth="1"/>
    <x:col min="3" max="3" width="16" style="1" hidden="0" customWidth="1"/>
    <x:col min="4" max="4" width="62" style="1" hidden="0" customWidth="1"/>
  </x:cols>
  <x:sheetData>
    <x:row r="1" ht="15" hidden="0" customHeight="1">
      <x:c r="A1" s="9" t="s">
        <x:v>182</x:v>
      </x:c>
      <x:c r="B1" s="9" t="s">
        <x:v>183</x:v>
      </x:c>
      <x:c r="C1" s="9" t="s">
        <x:v>184</x:v>
      </x:c>
      <x:c r="D1" s="9" t="s">
        <x:v>185</x:v>
      </x:c>
    </x:row>
    <x:row r="2" ht="15" hidden="0" customHeight="1">
      <x:c r="A2" s="1" t="s">
        <x:v>186</x:v>
      </x:c>
      <x:c r="B2" s="1" t="s">
        <x:v>187</x:v>
      </x:c>
      <x:c r="C2" s="1" t="s">
        <x:v>188</x:v>
      </x:c>
      <x:c r="D2" s="1" t="s">
        <x:v>189</x:v>
      </x:c>
    </x:row>
    <x:row r="3" ht="15" hidden="0" customHeight="1">
      <x:c r="A3" s="1" t="s">
        <x:v>190</x:v>
      </x:c>
      <x:c r="B3" s="1" t="s">
        <x:v>191</x:v>
      </x:c>
      <x:c r="C3" s="1" t="s">
        <x:v>192</x:v>
      </x:c>
      <x:c r="D3" s="1" t="s">
        <x:v>193</x:v>
      </x:c>
    </x:row>
    <x:row r="4" ht="15" hidden="0" customHeight="1">
      <x:c r="A4" s="1" t="s">
        <x:v>194</x:v>
      </x:c>
      <x:c r="B4" s="1" t="s">
        <x:v>195</x:v>
      </x:c>
      <x:c r="C4" s="1" t="s">
        <x:v>196</x:v>
      </x:c>
      <x:c r="D4" s="1" t="s">
        <x:v>197</x:v>
      </x:c>
    </x:row>
    <x:row r="5" ht="15" hidden="0" customHeight="1">
      <x:c r="A5" s="1" t="s">
        <x:v>198</x:v>
      </x:c>
      <x:c r="D5" s="1" t="s">
        <x:v>199</x:v>
      </x:c>
    </x:row>
    <x:row r="7" ht="15" hidden="0" customHeight="1">
      <x:c r="A7" s="2" t="s">
        <x:v>200</x:v>
      </x:c>
      <x:c r="B7" s="2" t="s">
        <x:v>72</x:v>
      </x:c>
    </x:row>
    <x:row r="8" ht="15" hidden="0" customHeight="1">
      <x:c r="A8" s="1" t="s">
        <x:v>201</x:v>
      </x:c>
      <x:c r="B8" s="1" t="s">
        <x:v>202</x:v>
      </x:c>
    </x:row>
    <x:row r="9" ht="15" hidden="0" customHeight="1">
      <x:c r="A9" s="1" t="s">
        <x:v>203</x:v>
      </x:c>
      <x:c r="B9" s="1" t="s">
        <x:v>204</x:v>
      </x:c>
    </x:row>
    <x:row r="10" ht="15" hidden="0" customHeight="1">
      <x:c r="A10" s="1" t="s">
        <x:v>205</x:v>
      </x:c>
      <x:c r="B10" s="1" t="s">
        <x:v>206</x:v>
      </x:c>
    </x:row>
    <x:row r="11" ht="15" hidden="0" customHeight="1">
      <x:c r="A11" s="1" t="s">
        <x:v>207</x:v>
      </x:c>
      <x:c r="B11" s="1" t="s">
        <x:v>208</x:v>
      </x:c>
    </x:row>
    <x:row r="12" ht="15" hidden="0" customHeight="1">
      <x:c r="A12" s="1" t="s">
        <x:v>209</x:v>
      </x:c>
      <x:c r="B12" s="1" t="s">
        <x:v>210</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28" style="1" hidden="0" customWidth="1"/>
    <x:col min="2" max="2" width="95" style="1" hidden="0" customWidth="1"/>
    <x:col min="3" max="3" width="12" style="1" hidden="0" customWidth="1"/>
    <x:col min="4" max="4" width="24" style="1" hidden="0" customWidth="1"/>
    <x:col min="5" max="5" width="42" style="1" hidden="0" customWidth="1"/>
    <x:col min="6" max="6" width="48" style="1" hidden="0" customWidth="1"/>
    <x:col min="7" max="7" width="58" style="1" hidden="0" customWidth="1"/>
    <x:col min="8" max="8" width="52" style="1" hidden="0" customWidth="1"/>
  </x:cols>
  <x:sheetData>
    <x:row r="1" ht="27.75" hidden="0" customHeight="1">
      <x:c r="A1" s="9" t="s">
        <x:v>6</x:v>
      </x:c>
      <x:c r="B1" s="9" t="s">
        <x:v>211</x:v>
      </x:c>
      <x:c r="C1" s="9" t="s">
        <x:v>212</x:v>
      </x:c>
      <x:c r="D1" s="9" t="s">
        <x:v>213</x:v>
      </x:c>
      <x:c r="E1" s="9" t="s">
        <x:v>214</x:v>
      </x:c>
      <x:c r="F1" s="9" t="s">
        <x:v>215</x:v>
      </x:c>
      <x:c r="G1" s="9" t="s">
        <x:v>73</x:v>
      </x:c>
      <x:c r="H1" s="9" t="s">
        <x:v>216</x:v>
      </x:c>
    </x:row>
    <x:row r="2" ht="15" hidden="0" customHeight="1">
      <x:c r="A2" s="1" t="n">
        <x:v>2019</x:v>
      </x:c>
      <x:c r="B2" s="1" t="s">
        <x:v>217</x:v>
      </x:c>
      <x:c r="C2" s="1" t="s">
        <x:v>218</x:v>
      </x:c>
      <x:c r="D2" s="1" t="s">
        <x:v>219</x:v>
      </x:c>
      <x:c r="E2" s="1" t="s">
        <x:v>220</x:v>
      </x:c>
      <x:c r="F2" s="1" t="s">
        <x:v>221</x:v>
      </x:c>
      <x:c r="G2" s="1" t="s">
        <x:v>222</x:v>
      </x:c>
      <x:c r="H2" s="1" t="s">
        <x:v>223</x:v>
      </x:c>
    </x:row>
    <x:row r="3" ht="15" hidden="0" customHeight="1">
      <x:c r="A3" s="1" t="n">
        <x:v>2022</x:v>
      </x:c>
      <x:c r="B3" s="1" t="s">
        <x:v>224</x:v>
      </x:c>
      <x:c r="C3" s="1" t="s">
        <x:v>225</x:v>
      </x:c>
      <x:c r="D3" s="1" t="s">
        <x:v>226</x:v>
      </x:c>
      <x:c r="E3" s="1" t="s">
        <x:v>227</x:v>
      </x:c>
      <x:c r="F3" s="1" t="s">
        <x:v>228</x:v>
      </x:c>
      <x:c r="G3" s="1" t="s">
        <x:v>96</x:v>
      </x:c>
      <x:c r="H3" s="1" t="s">
        <x:v>229</x:v>
      </x:c>
    </x:row>
    <x:row r="4" ht="15" hidden="0" customHeight="1">
      <x:c r="A4" s="1" t="n">
        <x:v>2024</x:v>
      </x:c>
      <x:c r="B4" s="1" t="s">
        <x:v>230</x:v>
      </x:c>
      <x:c r="C4" s="1" t="s">
        <x:v>231</x:v>
      </x:c>
      <x:c r="D4" s="1" t="s">
        <x:v>232</x:v>
      </x:c>
      <x:c r="E4" s="1" t="s">
        <x:v>233</x:v>
      </x:c>
      <x:c r="F4" s="1" t="s">
        <x:v>234</x:v>
      </x:c>
      <x:c r="G4" s="1" t="s">
        <x:v>94</x:v>
      </x:c>
      <x:c r="H4" s="1" t="s">
        <x:v>235</x:v>
      </x:c>
    </x:row>
    <x:row r="6" ht="15" hidden="0" customHeight="1">
      <x:c r="A6" s="2" t="s">
        <x:v>236</x:v>
      </x:c>
      <x:c r="B6" s="2" t="s">
        <x:v>72</x:v>
      </x:c>
    </x:row>
    <x:row r="7" ht="15" hidden="0" customHeight="1">
      <x:c r="A7" s="1" t="s">
        <x:v>237</x:v>
      </x:c>
      <x:c r="B7" s="1" t="s">
        <x:v>238</x:v>
      </x:c>
    </x:row>
    <x:row r="8" ht="15" hidden="0" customHeight="1">
      <x:c r="A8" s="1" t="s">
        <x:v>239</x:v>
      </x:c>
      <x:c r="B8" s="1" t="s">
        <x:v>240</x:v>
      </x:c>
    </x:row>
    <x:row r="9" ht="15" hidden="0" customHeight="1">
      <x:c r="A9" s="1" t="s">
        <x:v>241</x:v>
      </x:c>
      <x:c r="B9" s="1" t="s">
        <x:v>242</x:v>
      </x:c>
    </x:row>
    <x:row r="10" ht="15" hidden="0" customHeight="1">
      <x:c r="A10" s="1" t="s">
        <x:v>243</x:v>
      </x:c>
      <x:c r="B10" s="1" t="s">
        <x:v>244</x:v>
      </x:c>
    </x:row>
    <x:row r="11" ht="15" hidden="0" customHeight="1">
      <x:c r="A11" s="1" t="s">
        <x:v>245</x:v>
      </x:c>
      <x:c r="B11" s="1" t="s">
        <x:v>246</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 width="14" style="1" hidden="0" customWidth="1"/>
    <x:col min="2" max="2" width="16" style="1" hidden="0" customWidth="1"/>
    <x:col min="3" max="3" width="55" style="1" hidden="0" customWidth="1"/>
    <x:col min="4" max="4" width="42" style="1" hidden="0" customWidth="1"/>
    <x:col min="5" max="5" width="50" style="1" hidden="0" customWidth="1"/>
    <x:col min="6" max="6" width="28" style="1" hidden="0" customWidth="1"/>
    <x:col min="7" max="7" width="20" style="1" hidden="0" customWidth="1"/>
    <x:col min="8" max="8" width="48" style="1" hidden="0" customWidth="1"/>
  </x:cols>
  <x:sheetData>
    <x:row r="1" ht="15" hidden="0" customHeight="1">
      <x:c r="A1" s="9" t="s">
        <x:v>247</x:v>
      </x:c>
      <x:c r="B1" s="9" t="s">
        <x:v>80</x:v>
      </x:c>
      <x:c r="C1" s="9" t="s">
        <x:v>248</x:v>
      </x:c>
      <x:c r="D1" s="9" t="s">
        <x:v>249</x:v>
      </x:c>
      <x:c r="E1" s="9" t="s">
        <x:v>250</x:v>
      </x:c>
      <x:c r="F1" s="9" t="s">
        <x:v>251</x:v>
      </x:c>
      <x:c r="G1" s="9" t="s">
        <x:v>209</x:v>
      </x:c>
      <x:c r="H1" s="9" t="s">
        <x:v>252</x:v>
      </x:c>
    </x:row>
    <x:row r="2" ht="15" hidden="0" customHeight="1">
      <x:c r="A2" s="1" t="s">
        <x:v>40</x:v>
      </x:c>
      <x:c r="B2" s="1" t="s">
        <x:v>150</x:v>
      </x:c>
      <x:c r="C2" s="1" t="s">
        <x:v>253</x:v>
      </x:c>
      <x:c r="D2" s="1" t="s">
        <x:v>254</x:v>
      </x:c>
      <x:c r="E2" s="1" t="s">
        <x:v>255</x:v>
      </x:c>
      <x:c r="F2" s="1" t="s">
        <x:v>256</x:v>
      </x:c>
      <x:c r="G2" s="1" t="s">
        <x:v>257</x:v>
      </x:c>
      <x:c r="H2" s="1" t="s">
        <x:v>258</x:v>
      </x:c>
    </x:row>
    <x:row r="3" ht="15" hidden="0" customHeight="1">
      <x:c r="A3" s="1" t="s">
        <x:v>9</x:v>
      </x:c>
      <x:c r="B3" s="1" t="s">
        <x:v>184</x:v>
      </x:c>
      <x:c r="C3" s="1" t="s">
        <x:v>259</x:v>
      </x:c>
      <x:c r="D3" s="1" t="s">
        <x:v>260</x:v>
      </x:c>
      <x:c r="E3" s="1" t="s">
        <x:v>261</x:v>
      </x:c>
      <x:c r="F3" s="1" t="s">
        <x:v>256</x:v>
      </x:c>
      <x:c r="G3" s="1" t="s">
        <x:v>262</x:v>
      </x:c>
      <x:c r="H3" s="1" t="s">
        <x:v>263</x:v>
      </x:c>
    </x:row>
    <x:row r="4" ht="15" hidden="0" customHeight="1">
      <x:c r="A4" s="1" t="s">
        <x:v>30</x:v>
      </x:c>
      <x:c r="B4" s="1" t="s">
        <x:v>184</x:v>
      </x:c>
      <x:c r="C4" s="1" t="s">
        <x:v>264</x:v>
      </x:c>
      <x:c r="D4" s="1" t="s">
        <x:v>265</x:v>
      </x:c>
      <x:c r="E4" s="1" t="s">
        <x:v>266</x:v>
      </x:c>
      <x:c r="F4" s="1" t="s">
        <x:v>256</x:v>
      </x:c>
      <x:c r="G4" s="1" t="s">
        <x:v>257</x:v>
      </x:c>
      <x:c r="H4" s="1" t="s">
        <x:v>267</x:v>
      </x:c>
    </x:row>
    <x:row r="5" ht="15" hidden="0" customHeight="1">
      <x:c r="A5" s="1" t="s">
        <x:v>60</x:v>
      </x:c>
      <x:c r="B5" s="1" t="s">
        <x:v>184</x:v>
      </x:c>
      <x:c r="C5" s="1" t="s">
        <x:v>268</x:v>
      </x:c>
      <x:c r="D5" s="1" t="s">
        <x:v>269</x:v>
      </x:c>
      <x:c r="E5" s="1" t="s">
        <x:v>270</x:v>
      </x:c>
      <x:c r="F5" s="1" t="s">
        <x:v>271</x:v>
      </x:c>
      <x:c r="G5" s="1" t="s">
        <x:v>272</x:v>
      </x:c>
      <x:c r="H5" s="1" t="s">
        <x:v>273</x:v>
      </x:c>
    </x:row>
    <x:row r="6" ht="15" hidden="0" customHeight="1">
      <x:c r="A6" s="1" t="s">
        <x:v>46</x:v>
      </x:c>
      <x:c r="B6" s="1" t="s">
        <x:v>274</x:v>
      </x:c>
      <x:c r="C6" s="1" t="s">
        <x:v>275</x:v>
      </x:c>
      <x:c r="D6" s="1" t="s">
        <x:v>276</x:v>
      </x:c>
      <x:c r="E6" s="1" t="s">
        <x:v>277</x:v>
      </x:c>
      <x:c r="F6" s="1" t="s">
        <x:v>278</x:v>
      </x:c>
      <x:c r="G6" s="1" t="s">
        <x:v>279</x:v>
      </x:c>
      <x:c r="H6" s="1" t="s">
        <x:v>280</x:v>
      </x:c>
    </x:row>
    <x:row r="7" ht="15" hidden="0" customHeight="1">
      <x:c r="A7" s="1" t="s">
        <x:v>281</x:v>
      </x:c>
      <x:c r="B7" s="1" t="s">
        <x:v>184</x:v>
      </x:c>
      <x:c r="C7" s="1" t="s">
        <x:v>282</x:v>
      </x:c>
      <x:c r="D7" s="1" t="s">
        <x:v>283</x:v>
      </x:c>
      <x:c r="E7" s="1" t="s">
        <x:v>284</x:v>
      </x:c>
      <x:c r="F7" s="1" t="s">
        <x:v>256</x:v>
      </x:c>
      <x:c r="G7" s="1" t="s">
        <x:v>285</x:v>
      </x:c>
      <x:c r="H7" s="1" t="s">
        <x:v>286</x:v>
      </x:c>
    </x:row>
    <x:row r="8" ht="15" hidden="0" customHeight="1">
      <x:c r="A8" s="1" t="s">
        <x:v>32</x:v>
      </x:c>
      <x:c r="B8" s="1" t="s">
        <x:v>184</x:v>
      </x:c>
      <x:c r="C8" s="1" t="s">
        <x:v>287</x:v>
      </x:c>
      <x:c r="D8" s="1" t="s">
        <x:v>288</x:v>
      </x:c>
      <x:c r="E8" s="1" t="s">
        <x:v>289</x:v>
      </x:c>
      <x:c r="F8" s="1" t="s">
        <x:v>256</x:v>
      </x:c>
      <x:c r="G8" s="1" t="s">
        <x:v>290</x:v>
      </x:c>
      <x:c r="H8" s="1" t="s">
        <x:v>291</x:v>
      </x:c>
    </x:row>
    <x:row r="9" ht="15" hidden="0" customHeight="1">
      <x:c r="A9" s="1" t="s">
        <x:v>292</x:v>
      </x:c>
      <x:c r="B9" s="1" t="s">
        <x:v>293</x:v>
      </x:c>
      <x:c r="C9" s="1" t="s">
        <x:v>294</x:v>
      </x:c>
      <x:c r="D9" s="1" t="s">
        <x:v>295</x:v>
      </x:c>
      <x:c r="E9" s="1" t="s">
        <x:v>296</x:v>
      </x:c>
      <x:c r="F9" s="1" t="s">
        <x:v>297</x:v>
      </x:c>
      <x:c r="G9" s="1" t="s">
        <x:v>298</x:v>
      </x:c>
      <x:c r="H9" s="1" t="s">
        <x:v>299</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796875" defaultRowHeight="15"/>
  <x:cols>
    <x:col min="1" max="1" width="28" style="1" hidden="0" customWidth="1"/>
    <x:col min="2" max="2" width="95" style="1" hidden="0" customWidth="1"/>
  </x:cols>
  <x:sheetData>
    <x:row r="1" ht="15" hidden="0" customHeight="1">
      <x:c r="A1" s="9" t="s">
        <x:v>300</x:v>
      </x:c>
      <x:c r="B1" s="9" t="s">
        <x:v>301</x:v>
      </x:c>
    </x:row>
    <x:row r="2" ht="15" hidden="0" customHeight="1">
      <x:c r="A2" s="1" t="s">
        <x:v>302</x:v>
      </x:c>
      <x:c r="B2" s="1" t="s">
        <x:v>303</x:v>
      </x:c>
    </x:row>
    <x:row r="3" ht="15" hidden="0" customHeight="1">
      <x:c r="A3" s="1" t="s">
        <x:v>304</x:v>
      </x:c>
      <x:c r="B3" s="1" t="s">
        <x:v>183</x:v>
      </x:c>
    </x:row>
    <x:row r="4" ht="15" hidden="0" customHeight="1">
      <x:c r="A4" s="1" t="s">
        <x:v>305</x:v>
      </x:c>
      <x:c r="B4" s="1" t="s">
        <x:v>184</x:v>
      </x:c>
    </x:row>
    <x:row r="5" ht="15" hidden="0" customHeight="1">
      <x:c r="A5" s="1" t="s">
        <x:v>306</x:v>
      </x:c>
      <x:c r="B5" s="1" t="s">
        <x:v>307</x:v>
      </x:c>
    </x:row>
    <x:row r="6" ht="15" hidden="0" customHeight="1">
      <x:c r="A6" s="1" t="s">
        <x:v>308</x:v>
      </x:c>
      <x:c r="B6" s="1" t="s">
        <x:v>309</x:v>
      </x:c>
    </x:row>
    <x:row r="7" ht="15" hidden="0" customHeight="1">
      <x:c r="A7" s="1" t="s">
        <x:v>310</x:v>
      </x:c>
      <x:c r="B7" s="1" t="s">
        <x:v>311</x:v>
      </x:c>
    </x:row>
    <x:row r="8" ht="15" hidden="0" customHeight="1">
      <x:c r="A8" s="1" t="s">
        <x:v>312</x:v>
      </x:c>
      <x:c r="B8" s="1" t="s">
        <x:v>313</x:v>
      </x:c>
    </x:row>
    <x:row r="9" ht="15" hidden="0" customHeight="1">
      <x:c r="A9" s="1" t="s">
        <x:v>314</x:v>
      </x:c>
      <x:c r="B9" s="1" t="s">
        <x:v>315</x:v>
      </x:c>
    </x:row>
    <x:row r="10" ht="15" hidden="0" customHeight="1">
      <x:c r="A10" s="1" t="s">
        <x:v>316</x:v>
      </x:c>
      <x:c r="B10" s="1" t="s">
        <x:v>317</x:v>
      </x:c>
    </x:row>
  </x:sheetData>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6796875" defaultRowHeight="15"/>
  <x:cols>
    <x:col min="1" max="2" width="18" style="1" hidden="0" customWidth="1"/>
    <x:col min="3" max="3" width="24" style="1" hidden="0" customWidth="1"/>
    <x:col min="4" max="4" width="70" style="1" hidden="0" customWidth="1"/>
  </x:cols>
  <x:sheetData>
    <x:row r="1" ht="15" hidden="0" customHeight="1">
      <x:c r="A1" s="10" t="s">
        <x:v>318</x:v>
      </x:c>
      <x:c r="B1" s="10" t="s">
        <x:v>319</x:v>
      </x:c>
      <x:c r="C1" s="10" t="s">
        <x:v>320</x:v>
      </x:c>
      <x:c r="D1" s="10" t="s">
        <x:v>321</x:v>
      </x:c>
    </x:row>
    <x:row r="2" ht="15" hidden="0" customHeight="1">
      <x:c r="A2" s="1" t="s">
        <x:v>40</x:v>
      </x:c>
      <x:c r="B2" s="11" t="n">
        <x:v>0.4001</x:v>
      </x:c>
      <x:c r="C2" s="1" t="s">
        <x:v>272</x:v>
      </x:c>
      <x:c r="D2" s="1" t="s">
        <x:v>322</x:v>
      </x:c>
    </x:row>
    <x:row r="3" ht="15" hidden="0" customHeight="1">
      <x:c r="A3" s="1" t="s">
        <x:v>9</x:v>
      </x:c>
      <x:c r="B3" s="11" t="n">
        <x:v>0.2119</x:v>
      </x:c>
      <x:c r="C3" s="1" t="s">
        <x:v>272</x:v>
      </x:c>
      <x:c r="D3" s="1" t="s">
        <x:v>323</x:v>
      </x:c>
    </x:row>
    <x:row r="4" ht="15" hidden="0" customHeight="1">
      <x:c r="A4" s="1" t="s">
        <x:v>46</x:v>
      </x:c>
      <x:c r="B4" s="11" t="n">
        <x:v>0.1502</x:v>
      </x:c>
      <x:c r="C4" s="1" t="s">
        <x:v>272</x:v>
      </x:c>
      <x:c r="D4" s="1" t="s">
        <x:v>324</x:v>
      </x:c>
    </x:row>
    <x:row r="5" ht="15" hidden="0" customHeight="1">
      <x:c r="A5" s="1" t="s">
        <x:v>18</x:v>
      </x:c>
      <x:c r="B5" s="11" t="n">
        <x:v>0.0867</x:v>
      </x:c>
      <x:c r="C5" s="1" t="s">
        <x:v>325</x:v>
      </x:c>
      <x:c r="D5" s="1" t="s">
        <x:v>326</x:v>
      </x:c>
    </x:row>
    <x:row r="6" ht="15" hidden="0" customHeight="1">
      <x:c r="A6" s="1" t="s">
        <x:v>32</x:v>
      </x:c>
      <x:c r="B6" s="11" t="n">
        <x:v>0.061</x:v>
      </x:c>
      <x:c r="C6" s="1" t="s">
        <x:v>327</x:v>
      </x:c>
      <x:c r="D6" s="1" t="s">
        <x:v>328</x:v>
      </x:c>
    </x:row>
    <x:row r="7" ht="15" hidden="0" customHeight="1">
      <x:c r="A7" s="1" t="s">
        <x:v>281</x:v>
      </x:c>
      <x:c r="B7" s="11" t="n">
        <x:v>0.0902</x:v>
      </x:c>
      <x:c r="C7" s="1" t="s">
        <x:v>329</x:v>
      </x:c>
      <x:c r="D7" s="1" t="s">
        <x:v>330</x:v>
      </x:c>
    </x:row>
    <x:row r="9" ht="15" hidden="0" customHeight="1">
      <x:c r="A9" s="8" t="s">
        <x:v>331</x:v>
      </x:c>
      <x:c r="B9" s="8" t="s">
        <x:v>72</x:v>
      </x:c>
    </x:row>
    <x:row r="10" ht="15" hidden="0" customHeight="1">
      <x:c r="A10" s="1" t="s">
        <x:v>332</x:v>
      </x:c>
      <x:c r="B10" s="1" t="s">
        <x:v>333</x:v>
      </x:c>
    </x:row>
    <x:row r="11" ht="15" hidden="0" customHeight="1">
      <x:c r="A11" s="1" t="s">
        <x:v>334</x:v>
      </x:c>
      <x:c r="B11" s="1" t="s">
        <x:v>335</x:v>
      </x:c>
    </x:row>
    <x:row r="12" ht="15" hidden="0" customHeight="1">
      <x:c r="A12" s="1" t="s">
        <x:v>203</x:v>
      </x:c>
      <x:c r="B12" s="1" t="s">
        <x:v>336</x:v>
      </x:c>
    </x:row>
    <x:row r="13" ht="15" hidden="0" customHeight="1">
      <x:c r="A13" s="1" t="s">
        <x:v>209</x:v>
      </x:c>
      <x:c r="B13" s="1" t="s">
        <x:v>337</x:v>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1" width="30" style="1" hidden="0" customWidth="1"/>
    <x:col min="2" max="4" width="20" style="1" hidden="0" customWidth="1"/>
    <x:col min="5" max="5" width="18" style="1" hidden="0" customWidth="1"/>
    <x:col min="6" max="6" width="22" style="1" hidden="0" customWidth="1"/>
    <x:col min="7" max="7" width="28" style="1" hidden="0" customWidth="1"/>
    <x:col min="8" max="8" width="46" style="1" hidden="0" customWidth="1"/>
  </x:cols>
  <x:sheetData>
    <x:row r="1" ht="18" hidden="0" customHeight="1">
      <x:c r="A1" s="12" t="s">
        <x:v>338</x:v>
      </x:c>
      <x:c r="B1" s="12"/>
      <x:c r="C1" s="12"/>
      <x:c r="D1" s="12"/>
      <x:c r="E1" s="12"/>
      <x:c r="F1" s="12"/>
      <x:c r="G1" s="12"/>
      <x:c r="H1" s="12"/>
    </x:row>
    <x:row r="2" ht="15" hidden="0" customHeight="1">
      <x:c r="A2" s="13" t="s">
        <x:v>339</x:v>
      </x:c>
      <x:c r="B2" s="13"/>
      <x:c r="C2" s="13"/>
      <x:c r="D2" s="13"/>
      <x:c r="E2" s="13"/>
      <x:c r="F2" s="13"/>
      <x:c r="G2" s="13"/>
      <x:c r="H2" s="13"/>
    </x:row>
    <x:row r="4" ht="15" hidden="0" customHeight="1">
      <x:c r="A4" s="2" t="s">
        <x:v>340</x:v>
      </x:c>
      <x:c r="B4" s="2" t="s">
        <x:v>341</x:v>
      </x:c>
      <x:c r="C4" s="2" t="s">
        <x:v>342</x:v>
      </x:c>
      <x:c r="D4" s="2" t="s">
        <x:v>343</x:v>
      </x:c>
      <x:c r="F4" s="2" t="s">
        <x:v>344</x:v>
      </x:c>
      <x:c r="G4" s="2" t="s">
        <x:v>345</x:v>
      </x:c>
      <x:c r="H4" s="2" t="s">
        <x:v>185</x:v>
      </x:c>
    </x:row>
    <x:row r="5" ht="15" hidden="0" customHeight="1">
      <x:c r="A5" s="1" t="s">
        <x:v>346</x:v>
      </x:c>
      <x:c r="B5" s="4" t="n">
        <x:v>30412</x:v>
      </x:c>
      <x:c r="C5" s="4" t="n">
        <x:v>46503</x:v>
      </x:c>
      <x:c r="D5" s="4" t="n">
        <x:f aca="0">C5-B5</x:f>
        <x:v>16091</x:v>
      </x:c>
      <x:c r="F5" s="1" t="s">
        <x:v>347</x:v>
      </x:c>
      <x:c r="G5" s="14" t="n">
        <x:f aca="0">(C5-B5)/B5</x:f>
        <x:v>0.5291003551229778</x:v>
      </x:c>
      <x:c r="H5" s="1" t="s">
        <x:v>348</x:v>
      </x:c>
    </x:row>
    <x:row r="6" ht="15" hidden="0" customHeight="1">
      <x:c r="A6" s="1" t="s">
        <x:v>349</x:v>
      </x:c>
      <x:c r="B6" s="15" t="n">
        <x:v>1557.5</x:v>
      </x:c>
      <x:c r="C6" s="15" t="n">
        <x:v>2416.9</x:v>
      </x:c>
      <x:c r="D6" s="15" t="n">
        <x:f aca="0">C6-B6</x:f>
        <x:v>859.4000000000001</x:v>
      </x:c>
      <x:c r="F6" s="1" t="s">
        <x:v>350</x:v>
      </x:c>
      <x:c r="G6" s="15" t="n">
        <x:f aca="0">D6</x:f>
        <x:v>859.4000000000001</x:v>
      </x:c>
      <x:c r="H6" s="1" t="s">
        <x:v>351</x:v>
      </x:c>
    </x:row>
    <x:row r="7" ht="15" hidden="0" customHeight="1">
      <x:c r="A7" s="1" t="s">
        <x:v>352</x:v>
      </x:c>
      <x:c r="B7" s="1" t="s">
        <x:v>46</x:v>
      </x:c>
      <x:c r="C7" s="1" t="s">
        <x:v>40</x:v>
      </x:c>
      <x:c r="D7" s="1" t="s">
        <x:v>353</x:v>
      </x:c>
      <x:c r="F7" s="1" t="s">
        <x:v>354</x:v>
      </x:c>
      <x:c r="G7" s="11" t="n">
        <x:f aca="0">D8</x:f>
        <x:v>0.1436</x:v>
      </x:c>
      <x:c r="H7" s="1" t="s">
        <x:v>355</x:v>
      </x:c>
    </x:row>
    <x:row r="8" ht="15" hidden="0" customHeight="1">
      <x:c r="A8" s="1" t="s">
        <x:v>356</x:v>
      </x:c>
      <x:c r="B8" s="11" t="n">
        <x:v>0.2565</x:v>
      </x:c>
      <x:c r="C8" s="11" t="n">
        <x:v>0.4001</x:v>
      </x:c>
      <x:c r="D8" s="11" t="n">
        <x:f aca="0">C8-B8</x:f>
        <x:v>0.1436</x:v>
      </x:c>
      <x:c r="F8" s="1" t="s">
        <x:v>357</x:v>
      </x:c>
      <x:c r="G8" s="11" t="n">
        <x:v>0.9098</x:v>
      </x:c>
      <x:c r="H8" s="1" t="s">
        <x:v>358</x:v>
      </x:c>
    </x:row>
    <x:row r="9" ht="27.75" hidden="0" customHeight="1">
      <x:c r="A9" s="16" t="s">
        <x:v>359</x:v>
      </x:c>
      <x:c r="B9" s="16"/>
      <x:c r="C9" s="16"/>
      <x:c r="D9" s="16"/>
    </x:row>
    <x:row r="12" ht="15" hidden="0" customHeight="1">
      <x:c r="A12" s="2" t="s">
        <x:v>318</x:v>
      </x:c>
      <x:c r="B12" s="2" t="s">
        <x:v>360</x:v>
      </x:c>
      <x:c r="C12" s="2" t="s">
        <x:v>319</x:v>
      </x:c>
      <x:c r="E12" s="2" t="s">
        <x:v>247</x:v>
      </x:c>
      <x:c r="F12" s="2" t="s">
        <x:v>361</x:v>
      </x:c>
      <x:c r="G12" s="2" t="s">
        <x:v>362</x:v>
      </x:c>
      <x:c r="H12" s="2" t="s">
        <x:v>363</x:v>
      </x:c>
    </x:row>
    <x:row r="13" ht="15" hidden="0" customHeight="1">
      <x:c r="A13" s="1" t="s">
        <x:v>40</x:v>
      </x:c>
      <x:c r="B13" s="11" t="n">
        <x:v>0.0852952781796659</x:v>
      </x:c>
      <x:c r="C13" s="11" t="n">
        <x:v>0.400060211169172</x:v>
      </x:c>
      <x:c r="E13" s="1" t="s">
        <x:v>40</x:v>
      </x:c>
      <x:c r="F13" s="11" t="n">
        <x:v>0.4001</x:v>
      </x:c>
      <x:c r="G13" s="1" t="s">
        <x:v>364</x:v>
      </x:c>
      <x:c r="H13" s="1" t="s">
        <x:v>365</x:v>
      </x:c>
    </x:row>
    <x:row r="14" ht="15" hidden="0" customHeight="1">
      <x:c r="A14" s="1" t="s">
        <x:v>9</x:v>
      </x:c>
      <x:c r="B14" s="11" t="n">
        <x:v>0.188313823490727</x:v>
      </x:c>
      <x:c r="C14" s="11" t="n">
        <x:v>0.211857299529063</x:v>
      </x:c>
      <x:c r="E14" s="1" t="s">
        <x:v>9</x:v>
      </x:c>
      <x:c r="F14" s="11" t="n">
        <x:v>0.2119</x:v>
      </x:c>
      <x:c r="G14" s="1" t="s">
        <x:v>366</x:v>
      </x:c>
      <x:c r="H14" s="1" t="s">
        <x:v>367</x:v>
      </x:c>
    </x:row>
    <x:row r="15" ht="15" hidden="0" customHeight="1">
      <x:c r="A15" s="1" t="s">
        <x:v>46</x:v>
      </x:c>
      <x:c r="B15" s="11" t="n">
        <x:v>0.25654346968302</x:v>
      </x:c>
      <x:c r="C15" s="11" t="n">
        <x:v>0.150226867083844</x:v>
      </x:c>
      <x:c r="E15" s="1" t="s">
        <x:v>46</x:v>
      </x:c>
      <x:c r="F15" s="11" t="n">
        <x:v>0.1502</x:v>
      </x:c>
      <x:c r="G15" s="1" t="s">
        <x:v>368</x:v>
      </x:c>
      <x:c r="H15" s="1" t="s">
        <x:v>369</x:v>
      </x:c>
    </x:row>
    <x:row r="16" ht="15" hidden="0" customHeight="1">
      <x:c r="A16" s="1" t="s">
        <x:v>18</x:v>
      </x:c>
      <x:c r="B16" s="11" t="n">
        <x:v>0.18035643824806</x:v>
      </x:c>
      <x:c r="C16" s="11" t="n">
        <x:v>0.0867040836075092</x:v>
      </x:c>
      <x:c r="E16" s="1" t="s">
        <x:v>18</x:v>
      </x:c>
      <x:c r="F16" s="11" t="n">
        <x:v>0.0867</x:v>
      </x:c>
      <x:c r="G16" s="1" t="s">
        <x:v>370</x:v>
      </x:c>
      <x:c r="H16" s="1" t="s">
        <x:v>371</x:v>
      </x:c>
    </x:row>
    <x:row r="17" ht="15" hidden="0" customHeight="1">
      <x:c r="A17" s="1" t="s">
        <x:v>32</x:v>
      </x:c>
      <x:c r="B17" s="11" t="n">
        <x:v>0.088780744442983</x:v>
      </x:c>
      <x:c r="C17" s="11" t="n">
        <x:v>0.0609853127755199</x:v>
      </x:c>
      <x:c r="E17" s="1" t="s">
        <x:v>32</x:v>
      </x:c>
      <x:c r="F17" s="11" t="n">
        <x:f aca="0">C17</x:f>
        <x:v>0.0609853127755199</x:v>
      </x:c>
      <x:c r="G17" s="1" t="s">
        <x:v>372</x:v>
      </x:c>
      <x:c r="H17" s="1" t="s">
        <x:v>373</x:v>
      </x:c>
    </x:row>
    <x:row r="18" ht="15" hidden="0" customHeight="1">
      <x:c r="A18" s="1" t="s">
        <x:v>281</x:v>
      </x:c>
      <x:c r="B18" s="11" t="n">
        <x:v>0.200710245955544</x:v>
      </x:c>
      <x:c r="C18" s="11" t="n">
        <x:v>0.0901662258348923</x:v>
      </x:c>
      <x:c r="E18" s="1" t="s">
        <x:v>281</x:v>
      </x:c>
      <x:c r="F18" s="11" t="n">
        <x:f aca="0">C18</x:f>
        <x:v>0.0901662258348923</x:v>
      </x:c>
      <x:c r="G18" s="1" t="s">
        <x:v>374</x:v>
      </x:c>
      <x:c r="H18" s="1" t="s">
        <x:v>375</x:v>
      </x:c>
    </x:row>
    <x:row r="19" ht="54.75" hidden="0" customHeight="1">
      <x:c r="A19" s="17" t="s">
        <x:v>376</x:v>
      </x:c>
      <x:c r="B19" s="17" t="s">
        <x:v>377</x:v>
      </x:c>
      <x:c r="C19" s="17" t="s">
        <x:v>378</x:v>
      </x:c>
    </x:row>
    <x:row r="20" ht="15" hidden="0" customHeight="1">
      <x:c r="A20" s="18" t="s">
        <x:v>379</x:v>
      </x:c>
      <x:c r="B20" s="18"/>
      <x:c r="C20" s="18"/>
      <x:c r="D20" s="18"/>
      <x:c r="E20" s="18"/>
      <x:c r="F20" s="18"/>
      <x:c r="G20" s="18"/>
      <x:c r="H20" s="18"/>
    </x:row>
    <x:row r="21" ht="15" hidden="0" customHeight="1">
      <x:c r="A21" s="19" t="s">
        <x:v>380</x:v>
      </x:c>
      <x:c r="B21" s="19"/>
      <x:c r="C21" s="19"/>
      <x:c r="D21" s="19"/>
      <x:c r="E21" s="19"/>
      <x:c r="F21" s="19"/>
      <x:c r="G21" s="19"/>
      <x:c r="H21" s="19"/>
    </x:row>
    <x:row r="22" ht="15" hidden="0" customHeight="1">
      <x:c r="A22" s="19"/>
      <x:c r="B22" s="19"/>
      <x:c r="C22" s="19"/>
      <x:c r="D22" s="19"/>
      <x:c r="E22" s="19"/>
      <x:c r="F22" s="19"/>
      <x:c r="G22" s="19"/>
      <x:c r="H22" s="19"/>
    </x:row>
    <x:row r="23" ht="15" hidden="0" customHeight="1">
      <x:c r="A23" s="19"/>
      <x:c r="B23" s="19"/>
      <x:c r="C23" s="19"/>
      <x:c r="D23" s="19"/>
      <x:c r="E23" s="19"/>
      <x:c r="F23" s="19"/>
      <x:c r="G23" s="19"/>
      <x:c r="H23" s="19"/>
    </x:row>
    <x:row r="24" ht="15" hidden="0" customHeight="1">
      <x:c r="A24" s="19"/>
      <x:c r="B24" s="19"/>
      <x:c r="C24" s="19"/>
      <x:c r="D24" s="19"/>
      <x:c r="E24" s="19"/>
      <x:c r="F24" s="19"/>
      <x:c r="G24" s="19"/>
      <x:c r="H24" s="19"/>
    </x:row>
    <x:row r="26" ht="15" hidden="0" customHeight="1">
      <x:c r="A26" s="2" t="s">
        <x:v>381</x:v>
      </x:c>
      <x:c r="B26" s="2" t="s">
        <x:v>209</x:v>
      </x:c>
      <x:c r="C26" s="2" t="s">
        <x:v>382</x:v>
      </x:c>
      <x:c r="D26" s="2" t="s">
        <x:v>383</x:v>
      </x:c>
      <x:c r="F26" s="2" t="s">
        <x:v>384</x:v>
      </x:c>
      <x:c r="G26" s="2" t="s">
        <x:v>72</x:v>
      </x:c>
      <x:c r="H26" s="2" t="s">
        <x:v>209</x:v>
      </x:c>
    </x:row>
    <x:row r="27" ht="15" hidden="0" customHeight="1">
      <x:c r="A27" s="1" t="s">
        <x:v>385</x:v>
      </x:c>
      <x:c r="B27" s="1" t="s">
        <x:v>386</x:v>
      </x:c>
      <x:c r="C27" s="1" t="s">
        <x:v>387</x:v>
      </x:c>
      <x:c r="D27" s="1" t="s">
        <x:v>388</x:v>
      </x:c>
      <x:c r="F27" s="1" t="s">
        <x:v>389</x:v>
      </x:c>
      <x:c r="G27" s="1" t="s">
        <x:v>390</x:v>
      </x:c>
      <x:c r="H27" s="1" t="s">
        <x:v>391</x:v>
      </x:c>
    </x:row>
    <x:row r="28" ht="15" hidden="0" customHeight="1">
      <x:c r="A28" s="1" t="s">
        <x:v>349</x:v>
      </x:c>
      <x:c r="B28" s="1" t="s">
        <x:v>386</x:v>
      </x:c>
      <x:c r="C28" s="1" t="s">
        <x:v>392</x:v>
      </x:c>
      <x:c r="D28" s="1" t="s">
        <x:v>393</x:v>
      </x:c>
      <x:c r="F28" s="1" t="s">
        <x:v>394</x:v>
      </x:c>
      <x:c r="G28" s="1" t="s">
        <x:v>395</x:v>
      </x:c>
      <x:c r="H28" s="1" t="s">
        <x:v>391</x:v>
      </x:c>
    </x:row>
    <x:row r="29" ht="15" hidden="0" customHeight="1">
      <x:c r="A29" s="1" t="s">
        <x:v>356</x:v>
      </x:c>
      <x:c r="B29" s="1" t="s">
        <x:v>386</x:v>
      </x:c>
      <x:c r="C29" s="1" t="s">
        <x:v>396</x:v>
      </x:c>
      <x:c r="D29" s="1" t="s">
        <x:v>397</x:v>
      </x:c>
      <x:c r="F29" s="1" t="s">
        <x:v>207</x:v>
      </x:c>
      <x:c r="G29" s="1" t="s">
        <x:v>398</x:v>
      </x:c>
      <x:c r="H29" s="1" t="s">
        <x:v>399</x:v>
      </x:c>
    </x:row>
    <x:row r="30" ht="15" hidden="0" customHeight="1">
      <x:c r="A30" s="1" t="s">
        <x:v>400</x:v>
      </x:c>
      <x:c r="B30" s="1" t="s">
        <x:v>386</x:v>
      </x:c>
      <x:c r="C30" s="1" t="s">
        <x:v>401</x:v>
      </x:c>
      <x:c r="D30" s="1" t="s">
        <x:v>402</x:v>
      </x:c>
      <x:c r="F30" s="1" t="s">
        <x:v>403</x:v>
      </x:c>
      <x:c r="G30" s="1" t="s">
        <x:v>404</x:v>
      </x:c>
      <x:c r="H30" s="1" t="s">
        <x:v>405</x:v>
      </x:c>
    </x:row>
    <x:row r="31" ht="15" hidden="0" customHeight="1">
      <x:c r="A31" s="1" t="s">
        <x:v>406</x:v>
      </x:c>
      <x:c r="B31" s="1" t="s">
        <x:v>386</x:v>
      </x:c>
      <x:c r="C31" s="1" t="s">
        <x:v>407</x:v>
      </x:c>
      <x:c r="D31" s="1" t="s">
        <x:v>408</x:v>
      </x:c>
    </x:row>
    <x:row r="34" ht="15" hidden="0" customHeight="1">
      <x:c r="A34" s="20" t="s">
        <x:v>6</x:v>
      </x:c>
      <x:c r="B34" s="20" t="s">
        <x:v>349</x:v>
      </x:c>
      <x:c r="C34" s="20" t="s">
        <x:v>80</x:v>
      </x:c>
      <x:c r="E34" s="20" t="s">
        <x:v>409</x:v>
      </x:c>
      <x:c r="F34" s="20" t="s">
        <x:v>345</x:v>
      </x:c>
      <x:c r="G34" s="20" t="s">
        <x:v>185</x:v>
      </x:c>
    </x:row>
    <x:row r="35" ht="15" hidden="0" customHeight="1">
      <x:c r="A35" s="3" t="n">
        <x:v>2019</x:v>
      </x:c>
      <x:c r="B35" s="3" t="n">
        <x:v>1794</x:v>
      </x:c>
      <x:c r="C35" s="1" t="s">
        <x:v>304</x:v>
      </x:c>
      <x:c r="E35" s="1" t="s">
        <x:v>410</x:v>
      </x:c>
      <x:c r="F35" s="15" t="n">
        <x:f aca="0">AVERAGE(B35:B38)</x:f>
        <x:v>2807.5</x:v>
      </x:c>
      <x:c r="G35" s="1" t="s">
        <x:v>411</x:v>
      </x:c>
    </x:row>
    <x:row r="36" ht="15" hidden="0" customHeight="1">
      <x:c r="A36" s="3" t="n">
        <x:v>2020</x:v>
      </x:c>
      <x:c r="B36" s="3" t="n">
        <x:v>4184</x:v>
      </x:c>
      <x:c r="C36" s="1" t="s">
        <x:v>304</x:v>
      </x:c>
      <x:c r="E36" s="1" t="s">
        <x:v>412</x:v>
      </x:c>
      <x:c r="F36" s="15" t="n">
        <x:f aca="0">AVERAGE(B39:B41)</x:f>
        <x:v>2641</x:v>
      </x:c>
      <x:c r="G36" s="1" t="s">
        <x:v>413</x:v>
      </x:c>
    </x:row>
    <x:row r="37" ht="15" hidden="0" customHeight="1">
      <x:c r="A37" s="3" t="n">
        <x:v>2021</x:v>
      </x:c>
      <x:c r="B37" s="3" t="n">
        <x:v>3002</x:v>
      </x:c>
      <x:c r="C37" s="1" t="s">
        <x:v>304</x:v>
      </x:c>
      <x:c r="E37" s="1" t="s">
        <x:v>414</x:v>
      </x:c>
      <x:c r="G37" s="1" t="s">
        <x:v>415</x:v>
      </x:c>
    </x:row>
    <x:row r="38" ht="15" hidden="0" customHeight="1">
      <x:c r="A38" s="3" t="n">
        <x:v>2022</x:v>
      </x:c>
      <x:c r="B38" s="3" t="n">
        <x:v>2250</x:v>
      </x:c>
      <x:c r="C38" s="1" t="s">
        <x:v>304</x:v>
      </x:c>
      <x:c r="E38" s="1" t="s">
        <x:v>416</x:v>
      </x:c>
      <x:c r="G38" s="1" t="s">
        <x:v>417</x:v>
      </x:c>
    </x:row>
    <x:row r="39" ht="15" hidden="0" customHeight="1">
      <x:c r="A39" s="3" t="n">
        <x:v>2023</x:v>
      </x:c>
      <x:c r="B39" s="3" t="n">
        <x:v>2162</x:v>
      </x:c>
      <x:c r="C39" s="1" t="s">
        <x:v>305</x:v>
      </x:c>
    </x:row>
    <x:row r="40" ht="15" hidden="0" customHeight="1">
      <x:c r="A40" s="3" t="n">
        <x:v>2024</x:v>
      </x:c>
      <x:c r="B40" s="3" t="n">
        <x:v>3421</x:v>
      </x:c>
      <x:c r="C40" s="1" t="s">
        <x:v>305</x:v>
      </x:c>
    </x:row>
    <x:row r="41" ht="15" hidden="0" customHeight="1">
      <x:c r="A41" s="3" t="n">
        <x:v>2025</x:v>
      </x:c>
      <x:c r="B41" s="3" t="n">
        <x:v>2340</x:v>
      </x:c>
      <x:c r="C41" s="1" t="s">
        <x:v>305</x:v>
      </x:c>
    </x:row>
    <x:row r="43" ht="15" hidden="0" customHeight="1">
      <x:c r="A43" s="21" t="s">
        <x:v>418</x:v>
      </x:c>
      <x:c r="B43" s="21"/>
      <x:c r="C43" s="21"/>
      <x:c r="D43" s="21"/>
      <x:c r="E43" s="21"/>
      <x:c r="F43" s="21"/>
      <x:c r="G43" s="21"/>
      <x:c r="H43" s="21"/>
    </x:row>
    <x:row r="44" ht="15" hidden="0" customHeight="1">
      <x:c r="A44" s="19" t="s">
        <x:v>419</x:v>
      </x:c>
      <x:c r="B44" s="19"/>
      <x:c r="C44" s="19"/>
      <x:c r="D44" s="19"/>
      <x:c r="E44" s="19"/>
      <x:c r="F44" s="19"/>
      <x:c r="G44" s="19"/>
      <x:c r="H44" s="19"/>
    </x:row>
    <x:row r="45" ht="15" hidden="0" customHeight="1">
      <x:c r="A45" s="19"/>
      <x:c r="B45" s="19"/>
      <x:c r="C45" s="19"/>
      <x:c r="D45" s="19"/>
      <x:c r="E45" s="19"/>
      <x:c r="F45" s="19"/>
      <x:c r="G45" s="19"/>
      <x:c r="H45" s="19"/>
    </x:row>
    <x:row r="46" ht="15" hidden="0" customHeight="1">
      <x:c r="A46" s="19"/>
      <x:c r="B46" s="19"/>
      <x:c r="C46" s="19"/>
      <x:c r="D46" s="19"/>
      <x:c r="E46" s="19"/>
      <x:c r="F46" s="19"/>
      <x:c r="G46" s="19"/>
      <x:c r="H46" s="19"/>
    </x:row>
    <x:row r="47" ht="15" hidden="0" customHeight="1">
      <x:c r="A47" s="19"/>
      <x:c r="B47" s="19"/>
      <x:c r="C47" s="19"/>
      <x:c r="D47" s="19"/>
      <x:c r="E47" s="19"/>
      <x:c r="F47" s="19"/>
      <x:c r="G47" s="19"/>
      <x:c r="H47" s="19"/>
    </x:row>
    <x:row r="50" ht="15" hidden="0" customHeight="1">
      <x:c r="A50" s="2" t="s">
        <x:v>420</x:v>
      </x:c>
      <x:c r="B50" s="2" t="s">
        <x:v>341</x:v>
      </x:c>
      <x:c r="C50" s="2" t="s">
        <x:v>342</x:v>
      </x:c>
      <x:c r="D50" s="2" t="s">
        <x:v>421</x:v>
      </x:c>
    </x:row>
    <x:row r="51" ht="15" hidden="0" customHeight="1">
      <x:c r="A51" s="1" t="s">
        <x:v>349</x:v>
      </x:c>
      <x:c r="B51" s="1" t="n">
        <x:v>1557.5</x:v>
      </x:c>
      <x:c r="C51" s="1" t="n">
        <x:v>2416.9</x:v>
      </x:c>
      <x:c r="D51" s="1" t="n">
        <x:v>859.4</x:v>
      </x:c>
    </x:row>
    <x:row r="52" ht="15" hidden="0" customHeight="1">
      <x:c r="A52" s="1" t="s">
        <x:v>422</x:v>
      </x:c>
      <x:c r="B52" s="11" t="n">
        <x:v>0.2565</x:v>
      </x:c>
      <x:c r="C52" s="11" t="n">
        <x:v>0.4001</x:v>
      </x:c>
      <x:c r="D52" s="11" t="n">
        <x:v>0.1436</x:v>
      </x:c>
    </x:row>
    <x:row r="53" ht="15" hidden="0" customHeight="1">
      <x:c r="A53" s="1" t="s">
        <x:v>423</x:v>
      </x:c>
      <x:c r="B53" s="1" t="s">
        <x:v>424</x:v>
      </x:c>
      <x:c r="C53" s="1" t="s">
        <x:v>425</x:v>
      </x:c>
      <x:c r="D53" s="1" t="s">
        <x:v>426</x:v>
      </x:c>
    </x:row>
    <x:row r="54" ht="15" hidden="0" customHeight="1">
      <x:c r="A54" s="1" t="s">
        <x:v>427</x:v>
      </x:c>
      <x:c r="B54" s="1" t="n">
        <x:v>9498</x:v>
      </x:c>
      <x:c r="C54" s="1" t="n">
        <x:v>9751.3</x:v>
      </x:c>
      <x:c r="D54" s="1" t="n">
        <x:v>253.3</x:v>
      </x:c>
    </x:row>
    <x:row r="55" ht="15" hidden="0" customHeight="1">
      <x:c r="A55" s="1" t="s">
        <x:v>428</x:v>
      </x:c>
      <x:c r="B55" s="11" t="n">
        <x:v>0.9744483159</x:v>
      </x:c>
      <x:c r="C55" s="11" t="n">
        <x:v>0.9874476987</x:v>
      </x:c>
      <x:c r="D55" s="11" t="n">
        <x:v>0.0129993828</x:v>
      </x:c>
    </x:row>
    <x:row r="56" ht="15" hidden="0" customHeight="1">
      <x:c r="A56" s="1" t="s">
        <x:v>429</x:v>
      </x:c>
      <x:c r="B56" s="11" t="n">
        <x:v>1</x:v>
      </x:c>
      <x:c r="C56" s="11" t="n">
        <x:v>1</x:v>
      </x:c>
      <x:c r="D56" s="11" t="n">
        <x:v>0</x:v>
      </x:c>
    </x:row>
    <x:row r="57" ht="15" hidden="0" customHeight="1">
      <x:c r="A57" s="1" t="s">
        <x:v>198</x:v>
      </x:c>
      <x:c r="D57" s="1" t="s">
        <x:v>430</x:v>
      </x:c>
    </x:row>
  </x:sheetData>
  <x:mergeCells>
    <x:mergeCell ref="A1:H1"/>
    <x:mergeCell ref="A2:H2"/>
    <x:mergeCell ref="A9:D9"/>
    <x:mergeCell ref="B9:D9"/>
    <x:mergeCell ref="A20:H20"/>
    <x:mergeCell ref="A21:H24"/>
    <x:mergeCell ref="A43:H43"/>
    <x:mergeCell ref="A44:H47"/>
  </x:mergeCells>
  <x:pageMargins left="0.7" right="0.7" top="0.75" bottom="0.75" header="0.3" footer="0.3"/>
  <x:drawing xmlns:r="http://schemas.openxmlformats.org/officeDocument/2006/relationships" r:id="R10b9053031de47a6"/>
</x:worksheet>
</file>

<file path=xl/worksheets/sheet11.xml><?xml version="1.0" encoding="utf-8"?>
<x:worksheet xmlns:x="http://schemas.openxmlformats.org/spreadsheetml/2006/main">
  <x:sheetViews>
    <x:sheetView showGridLines="1" workbookViewId="0"/>
  </x:sheetViews>
  <x:sheetFormatPr defaultColWidth="8.6796875" defaultRowHeight="15"/>
  <x:cols>
    <x:col min="1" max="2" width="25" style="1" hidden="0" customWidth="1"/>
    <x:col min="3" max="3" width="19" style="1" hidden="0" customWidth="1"/>
    <x:col min="4" max="4" width="9" style="1" hidden="0" customWidth="1"/>
    <x:col min="5" max="5" width="18" style="1" hidden="0" customWidth="1"/>
    <x:col min="6" max="6" width="42" style="1" hidden="0" customWidth="1"/>
  </x:cols>
  <x:sheetData>
    <x:row r="1" ht="15" hidden="0" customHeight="1">
      <x:c r="A1" s="9" t="s">
        <x:v>5</x:v>
      </x:c>
      <x:c r="B1" s="9" t="s">
        <x:v>431</x:v>
      </x:c>
      <x:c r="C1" s="2" t="s">
        <x:v>432</x:v>
      </x:c>
      <x:c r="D1" s="2" t="s">
        <x:v>433</x:v>
      </x:c>
      <x:c r="E1" s="2" t="s">
        <x:v>434</x:v>
      </x:c>
      <x:c r="F1" s="2" t="s">
        <x:v>321</x:v>
      </x:c>
    </x:row>
    <x:row r="2" ht="15" hidden="0" customHeight="1">
      <x:c r="A2" s="1" t="s">
        <x:v>18</x:v>
      </x:c>
      <x:c r="B2" s="4" t="n">
        <x:v>22341</x:v>
      </x:c>
      <x:c r="C2" s="11" t="n">
        <x:v>0.4877628103</x:v>
      </x:c>
      <x:c r="D2" s="1" t="n">
        <x:v>1</x:v>
      </x:c>
      <x:c r="E2" s="1" t="s">
        <x:v>256</x:v>
      </x:c>
      <x:c r="F2" s="1" t="s">
        <x:v>435</x:v>
      </x:c>
    </x:row>
    <x:row r="3" ht="15" hidden="0" customHeight="1">
      <x:c r="A3" s="1" t="s">
        <x:v>46</x:v>
      </x:c>
      <x:c r="B3" s="4" t="n">
        <x:v>12785</x:v>
      </x:c>
      <x:c r="C3" s="11" t="n">
        <x:v>0.279130188</x:v>
      </x:c>
      <x:c r="D3" s="1" t="n">
        <x:v>2</x:v>
      </x:c>
      <x:c r="E3" s="1" t="s">
        <x:v>256</x:v>
      </x:c>
      <x:c r="F3" s="1" t="s">
        <x:v>435</x:v>
      </x:c>
    </x:row>
    <x:row r="4" ht="15" hidden="0" customHeight="1">
      <x:c r="A4" s="1" t="s">
        <x:v>36</x:v>
      </x:c>
      <x:c r="B4" s="4" t="n">
        <x:v>7636</x:v>
      </x:c>
      <x:c r="C4" s="11" t="n">
        <x:v>0.1667139707</x:v>
      </x:c>
      <x:c r="D4" s="1" t="n">
        <x:v>3</x:v>
      </x:c>
      <x:c r="E4" s="1" t="s">
        <x:v>256</x:v>
      </x:c>
      <x:c r="F4" s="1" t="s">
        <x:v>435</x:v>
      </x:c>
    </x:row>
    <x:row r="5" ht="15" hidden="0" customHeight="1">
      <x:c r="A5" s="1" t="s">
        <x:v>20</x:v>
      </x:c>
      <x:c r="B5" s="4" t="n">
        <x:v>1503</x:v>
      </x:c>
      <x:c r="C5" s="11" t="n">
        <x:v>0.0328144445</x:v>
      </x:c>
      <x:c r="D5" s="1" t="n">
        <x:v>4</x:v>
      </x:c>
      <x:c r="E5" s="1" t="s">
        <x:v>256</x:v>
      </x:c>
      <x:c r="F5" s="1" t="s">
        <x:v>435</x:v>
      </x:c>
    </x:row>
    <x:row r="6" ht="15" hidden="0" customHeight="1">
      <x:c r="A6" s="1" t="s">
        <x:v>436</x:v>
      </x:c>
      <x:c r="B6" s="4" t="n">
        <x:v>1283</x:v>
      </x:c>
      <x:c r="C6" s="11" t="n">
        <x:v>0.0280112656</x:v>
      </x:c>
      <x:c r="D6" s="1" t="n">
        <x:v>5</x:v>
      </x:c>
      <x:c r="E6" s="1" t="s">
        <x:v>256</x:v>
      </x:c>
      <x:c r="F6" s="1" t="s">
        <x:v>435</x:v>
      </x:c>
    </x:row>
    <x:row r="7" ht="15" hidden="0" customHeight="1">
      <x:c r="A7" s="1" t="s">
        <x:v>22</x:v>
      </x:c>
      <x:c r="B7" s="4" t="n">
        <x:v>162</x:v>
      </x:c>
      <x:c r="C7" s="11" t="n">
        <x:v>0.0035368862</x:v>
      </x:c>
      <x:c r="D7" s="1" t="n">
        <x:v>6</x:v>
      </x:c>
      <x:c r="E7" s="1" t="s">
        <x:v>256</x:v>
      </x:c>
      <x:c r="F7" s="1" t="s">
        <x:v>435</x:v>
      </x:c>
    </x:row>
    <x:row r="8" ht="15" hidden="0" customHeight="1">
      <x:c r="A8" s="1" t="s">
        <x:v>437</x:v>
      </x:c>
      <x:c r="B8" s="4" t="n">
        <x:v>75</x:v>
      </x:c>
      <x:c r="C8" s="11" t="n">
        <x:v>0.0016374473</x:v>
      </x:c>
      <x:c r="D8" s="1" t="n">
        <x:v>7</x:v>
      </x:c>
      <x:c r="E8" s="1" t="s">
        <x:v>256</x:v>
      </x:c>
      <x:c r="F8" s="1" t="s">
        <x:v>435</x:v>
      </x:c>
    </x:row>
    <x:row r="9" ht="15" hidden="0" customHeight="1">
      <x:c r="A9" s="1" t="s">
        <x:v>28</x:v>
      </x:c>
      <x:c r="B9" s="4" t="n">
        <x:v>14</x:v>
      </x:c>
      <x:c r="C9" s="11" t="n">
        <x:v>0.0003056568</x:v>
      </x:c>
      <x:c r="D9" s="1" t="n">
        <x:v>8</x:v>
      </x:c>
      <x:c r="E9" s="1" t="s">
        <x:v>256</x:v>
      </x:c>
      <x:c r="F9" s="1" t="s">
        <x:v>435</x:v>
      </x:c>
    </x:row>
    <x:row r="10" ht="15" hidden="0" customHeight="1">
      <x:c r="A10" s="1" t="s">
        <x:v>9</x:v>
      </x:c>
      <x:c r="B10" s="4" t="n">
        <x:v>3</x:v>
      </x:c>
      <x:c r="C10" s="11" t="n">
        <x:v>6.54979E-005</x:v>
      </x:c>
      <x:c r="D10" s="1" t="n">
        <x:v>9</x:v>
      </x:c>
      <x:c r="E10" s="1" t="s">
        <x:v>256</x:v>
      </x:c>
      <x:c r="F10" s="1" t="s">
        <x:v>435</x:v>
      </x:c>
    </x:row>
    <x:row r="11" ht="15" hidden="0" customHeight="1">
      <x:c r="A11" s="1" t="s">
        <x:v>438</x:v>
      </x:c>
      <x:c r="B11" s="4" t="n">
        <x:v>1</x:v>
      </x:c>
      <x:c r="C11" s="11" t="n">
        <x:v>2.18326E-005</x:v>
      </x:c>
      <x:c r="D11" s="1" t="n">
        <x:v>10</x:v>
      </x:c>
      <x:c r="E11" s="1" t="s">
        <x:v>256</x:v>
      </x:c>
      <x:c r="F11" s="1" t="s">
        <x:v>435</x:v>
      </x:c>
    </x:row>
    <x:row r="12" ht="15" hidden="0" customHeight="1">
      <x:c r="B12" s="4"/>
      <x:c r="C12" s="11"/>
    </x:row>
    <x:row r="13" ht="15" hidden="0" customHeight="1">
      <x:c r="A13" s="1" t="s">
        <x:v>439</x:v>
      </x:c>
      <x:c r="B13" s="4" t="n">
        <x:v>45803</x:v>
      </x:c>
      <x:c r="C13" s="11" t="n">
        <x:v>1</x:v>
      </x:c>
    </x:row>
    <x:row r="15" ht="15" hidden="0" customHeight="1">
      <x:c r="A15" s="2" t="s">
        <x:v>71</x:v>
      </x:c>
      <x:c r="B15" s="2" t="s">
        <x:v>72</x:v>
      </x:c>
    </x:row>
    <x:row r="16" ht="15" hidden="0" customHeight="1">
      <x:c r="A16" s="1" t="s">
        <x:v>440</x:v>
      </x:c>
      <x:c r="B16" s="1" t="s">
        <x:v>441</x:v>
      </x:c>
    </x:row>
    <x:row r="17" ht="15" hidden="0" customHeight="1">
      <x:c r="A17" s="1" t="s">
        <x:v>442</x:v>
      </x:c>
      <x:c r="B17" s="1" t="s">
        <x:v>443</x:v>
      </x:c>
    </x:row>
    <x:row r="18" ht="15" hidden="0" customHeight="1">
      <x:c r="A18" s="1" t="s">
        <x:v>444</x:v>
      </x:c>
      <x:c r="B18" s="1" t="s">
        <x:v>445</x:v>
      </x:c>
    </x:row>
    <x:row r="19" ht="15" hidden="0" customHeight="1">
      <x:c r="A19" s="1" t="s">
        <x:v>446</x:v>
      </x:c>
      <x:c r="B19" s="1" t="s">
        <x:v>447</x:v>
      </x:c>
    </x:row>
    <x:row r="20" ht="15" hidden="0" customHeight="1">
      <x:c r="A20" s="1" t="s">
        <x:v>448</x:v>
      </x:c>
      <x:c r="B20" s="1" t="s">
        <x:v>449</x:v>
      </x:c>
    </x:row>
    <x:row r="21" ht="15" hidden="0" customHeight="1">
      <x:c r="A21" s="1" t="s">
        <x:v>243</x:v>
      </x:c>
      <x:c r="B21" s="1" t="s">
        <x:v>450</x:v>
      </x:c>
    </x:row>
    <x:row r="22" ht="15" hidden="0" customHeight="1">
      <x:c r="A22" s="1" t="s">
        <x:v>451</x:v>
      </x:c>
      <x:c r="B22" s="1" t="s">
        <x:v>452</x:v>
      </x:c>
    </x:row>
    <x:row r="23" ht="15" hidden="0" customHeight="1">
      <x:c r="A23" s="1" t="s">
        <x:v>73</x:v>
      </x:c>
      <x:c r="B23" s="1" t="s">
        <x:v>453</x:v>
      </x:c>
    </x:row>
  </x:sheetData>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ColWidth="8.6796875" defaultRowHeight="15"/>
  <x:cols>
    <x:col min="1" max="1" width="25" style="1" hidden="0" customWidth="1"/>
    <x:col min="2" max="9" width="17" style="1" hidden="0" customWidth="1"/>
    <x:col min="11" max="17" width="17" style="1" hidden="0" customWidth="1"/>
  </x:cols>
  <x:sheetData>
    <x:row r="1" ht="16.5" hidden="0" customHeight="1">
      <x:c r="A1" s="22" t="s">
        <x:v>454</x:v>
      </x:c>
      <x:c r="B1" s="22"/>
      <x:c r="C1" s="22"/>
      <x:c r="D1" s="22"/>
      <x:c r="E1" s="22"/>
      <x:c r="F1" s="22"/>
      <x:c r="G1" s="22"/>
      <x:c r="H1" s="22"/>
      <x:c r="I1" s="22"/>
      <x:c r="J1" s="22"/>
      <x:c r="K1" s="22"/>
      <x:c r="L1" s="22"/>
      <x:c r="M1" s="22"/>
      <x:c r="N1" s="22"/>
      <x:c r="O1" s="22"/>
      <x:c r="P1" s="22"/>
      <x:c r="Q1" s="22"/>
    </x:row>
    <x:row r="2" ht="15" hidden="0" customHeight="1">
      <x:c r="A2" s="3"/>
      <x:c r="B2" s="4"/>
      <x:c r="C2" s="4"/>
      <x:c r="D2" s="4"/>
      <x:c r="E2" s="4"/>
      <x:c r="F2" s="4"/>
      <x:c r="G2" s="4"/>
      <x:c r="H2" s="15"/>
    </x:row>
    <x:row r="3" ht="15" hidden="0" customHeight="1">
      <x:c r="A3" s="23" t="s">
        <x:v>6</x:v>
      </x:c>
      <x:c r="B3" s="24" t="s">
        <x:v>455</x:v>
      </x:c>
      <x:c r="C3" s="24" t="s">
        <x:v>456</x:v>
      </x:c>
      <x:c r="D3" s="24" t="s">
        <x:v>457</x:v>
      </x:c>
      <x:c r="E3" s="24" t="s">
        <x:v>458</x:v>
      </x:c>
      <x:c r="F3" s="24" t="s">
        <x:v>459</x:v>
      </x:c>
      <x:c r="G3" s="24" t="s">
        <x:v>460</x:v>
      </x:c>
      <x:c r="H3" s="25" t="s">
        <x:v>461</x:v>
      </x:c>
      <x:c r="I3" s="2" t="s">
        <x:v>462</x:v>
      </x:c>
      <x:c r="K3" s="2" t="s">
        <x:v>6</x:v>
      </x:c>
      <x:c r="L3" s="2" t="s">
        <x:v>455</x:v>
      </x:c>
      <x:c r="M3" s="2" t="s">
        <x:v>463</x:v>
      </x:c>
      <x:c r="N3" s="2" t="s">
        <x:v>460</x:v>
      </x:c>
      <x:c r="O3" s="2" t="s">
        <x:v>461</x:v>
      </x:c>
      <x:c r="P3" s="2" t="s">
        <x:v>73</x:v>
      </x:c>
      <x:c r="Q3" s="2" t="s">
        <x:v>464</x:v>
      </x:c>
    </x:row>
    <x:row r="4" ht="15" hidden="0" customHeight="1">
      <x:c r="A4" s="3" t="n">
        <x:v>2019</x:v>
      </x:c>
      <x:c r="B4" s="4" t="n">
        <x:v>338000</x:v>
      </x:c>
      <x:c r="C4" s="4" t="n">
        <x:v>3000</x:v>
      </x:c>
      <x:c r="D4" s="4" t="n">
        <x:v>2000</x:v>
      </x:c>
      <x:c r="E4" s="4" t="n">
        <x:v>8000</x:v>
      </x:c>
      <x:c r="F4" s="4" t="n">
        <x:v>0</x:v>
      </x:c>
      <x:c r="G4" s="4" t="n">
        <x:v>351000</x:v>
      </x:c>
      <x:c r="H4" s="15" t="n">
        <x:v>9279.2266</x:v>
      </x:c>
      <x:c r="I4" s="1" t="s">
        <x:v>114</x:v>
      </x:c>
      <x:c r="K4" s="3" t="n">
        <x:v>2019</x:v>
      </x:c>
      <x:c r="L4" s="4" t="n">
        <x:v>310000</x:v>
      </x:c>
      <x:c r="M4" s="4" t="n">
        <x:v>14000</x:v>
      </x:c>
      <x:c r="N4" s="4" t="n">
        <x:v>324000</x:v>
      </x:c>
      <x:c r="O4" s="15" t="n">
        <x:v>9159.2364</x:v>
      </x:c>
      <x:c r="P4" s="1" t="s">
        <x:v>113</x:v>
      </x:c>
      <x:c r="Q4" s="1" t="s">
        <x:v>465</x:v>
      </x:c>
    </x:row>
    <x:row r="5" ht="15" hidden="0" customHeight="1">
      <x:c r="A5" s="3" t="n">
        <x:v>2020</x:v>
      </x:c>
      <x:c r="B5" s="4" t="n">
        <x:v>317000</x:v>
      </x:c>
      <x:c r="C5" s="4" t="n">
        <x:v>3000</x:v>
      </x:c>
      <x:c r="D5" s="4" t="n">
        <x:v>2000</x:v>
      </x:c>
      <x:c r="E5" s="4" t="n">
        <x:v>5000</x:v>
      </x:c>
      <x:c r="F5" s="4" t="n">
        <x:v>0</x:v>
      </x:c>
      <x:c r="G5" s="4" t="n">
        <x:v>327000</x:v>
      </x:c>
      <x:c r="H5" s="15" t="n">
        <x:v>9401.285</x:v>
      </x:c>
      <x:c r="I5" s="1" t="s">
        <x:v>116</x:v>
      </x:c>
      <x:c r="K5" s="3" t="n">
        <x:v>2020</x:v>
      </x:c>
      <x:c r="L5" s="4" t="n">
        <x:v>290000</x:v>
      </x:c>
      <x:c r="M5" s="4" t="n">
        <x:v>10000</x:v>
      </x:c>
      <x:c r="N5" s="4" t="n">
        <x:v>300000</x:v>
      </x:c>
      <x:c r="O5" s="15" t="n">
        <x:v>9348.2222</x:v>
      </x:c>
      <x:c r="P5" s="1" t="s">
        <x:v>114</x:v>
      </x:c>
      <x:c r="Q5" s="1" t="s">
        <x:v>465</x:v>
      </x:c>
    </x:row>
    <x:row r="6" ht="15" hidden="0" customHeight="1">
      <x:c r="A6" s="3" t="n">
        <x:v>2021</x:v>
      </x:c>
      <x:c r="B6" s="4" t="n">
        <x:v>423000</x:v>
      </x:c>
      <x:c r="C6" s="4" t="n">
        <x:v>3000</x:v>
      </x:c>
      <x:c r="D6" s="4" t="n">
        <x:v>2000</x:v>
      </x:c>
      <x:c r="E6" s="4" t="n">
        <x:v>5000</x:v>
      </x:c>
      <x:c r="F6" s="4" t="n">
        <x:v>1000</x:v>
      </x:c>
      <x:c r="G6" s="4" t="n">
        <x:v>434000</x:v>
      </x:c>
      <x:c r="H6" s="15" t="n">
        <x:v>9501.5821</x:v>
      </x:c>
      <x:c r="I6" s="1" t="s">
        <x:v>117</x:v>
      </x:c>
      <x:c r="K6" s="3" t="n">
        <x:v>2021</x:v>
      </x:c>
      <x:c r="L6" s="4" t="n">
        <x:v>420000</x:v>
      </x:c>
      <x:c r="M6" s="4" t="n">
        <x:v>10000</x:v>
      </x:c>
      <x:c r="N6" s="4" t="n">
        <x:v>430000</x:v>
      </x:c>
      <x:c r="O6" s="15" t="n">
        <x:v>9542.3472</x:v>
      </x:c>
      <x:c r="P6" s="1" t="s">
        <x:v>116</x:v>
      </x:c>
      <x:c r="Q6" s="1" t="s">
        <x:v>465</x:v>
      </x:c>
    </x:row>
    <x:row r="7" ht="15" hidden="0" customHeight="1">
      <x:c r="A7" s="3" t="n">
        <x:v>2022</x:v>
      </x:c>
      <x:c r="B7" s="4" t="n">
        <x:v>600000</x:v>
      </x:c>
      <x:c r="C7" s="4" t="n">
        <x:v>3000</x:v>
      </x:c>
      <x:c r="D7" s="4" t="n">
        <x:v>2000</x:v>
      </x:c>
      <x:c r="E7" s="4" t="n">
        <x:v>5000</x:v>
      </x:c>
      <x:c r="F7" s="4" t="n">
        <x:v>0</x:v>
      </x:c>
      <x:c r="G7" s="4" t="n">
        <x:v>610000</x:v>
      </x:c>
      <x:c r="H7" s="15" t="n">
        <x:v>9675.8398</x:v>
      </x:c>
      <x:c r="I7" s="1" t="s">
        <x:v>118</x:v>
      </x:c>
      <x:c r="K7" s="3" t="n">
        <x:v>2022</x:v>
      </x:c>
      <x:c r="L7" s="4" t="n">
        <x:v>540000</x:v>
      </x:c>
      <x:c r="M7" s="4" t="n">
        <x:v>11000</x:v>
      </x:c>
      <x:c r="N7" s="4" t="n">
        <x:v>551000</x:v>
      </x:c>
      <x:c r="O7" s="15" t="n">
        <x:v>9605.996</x:v>
      </x:c>
      <x:c r="P7" s="1" t="s">
        <x:v>117</x:v>
      </x:c>
      <x:c r="Q7" s="1" t="s">
        <x:v>465</x:v>
      </x:c>
    </x:row>
    <x:row r="8" ht="15" hidden="0" customHeight="1">
      <x:c r="A8" s="3" t="n">
        <x:v>2023</x:v>
      </x:c>
      <x:c r="B8" s="4" t="n">
        <x:v>621000</x:v>
      </x:c>
      <x:c r="C8" s="4" t="n">
        <x:v>3000</x:v>
      </x:c>
      <x:c r="D8" s="4" t="n">
        <x:v>3000</x:v>
      </x:c>
      <x:c r="E8" s="4" t="n">
        <x:v>6000</x:v>
      </x:c>
      <x:c r="F8" s="4" t="n">
        <x:v>0</x:v>
      </x:c>
      <x:c r="G8" s="4" t="n">
        <x:v>633000</x:v>
      </x:c>
      <x:c r="H8" s="15" t="n">
        <x:v>9625.7946</x:v>
      </x:c>
      <x:c r="I8" s="1" t="s">
        <x:v>466</x:v>
      </x:c>
      <x:c r="K8" s="3" t="n">
        <x:v>2023</x:v>
      </x:c>
      <x:c r="L8" s="4" t="n">
        <x:v>600000</x:v>
      </x:c>
      <x:c r="M8" s="4" t="n">
        <x:v>10000</x:v>
      </x:c>
      <x:c r="N8" s="4" t="n">
        <x:v>610000</x:v>
      </x:c>
      <x:c r="O8" s="15" t="n">
        <x:v>9675.8398</x:v>
      </x:c>
      <x:c r="P8" s="1" t="s">
        <x:v>118</x:v>
      </x:c>
      <x:c r="Q8" s="1" t="s">
        <x:v>465</x:v>
      </x:c>
    </x:row>
    <x:row r="9" ht="15" hidden="0" customHeight="1">
      <x:c r="A9" s="3" t="n">
        <x:v>2024</x:v>
      </x:c>
      <x:c r="B9" s="4" t="n">
        <x:v>839000</x:v>
      </x:c>
      <x:c r="C9" s="4" t="n">
        <x:v>3000</x:v>
      </x:c>
      <x:c r="D9" s="4" t="n">
        <x:v>0</x:v>
      </x:c>
      <x:c r="E9" s="4" t="n">
        <x:v>6000</x:v>
      </x:c>
      <x:c r="F9" s="4" t="n">
        <x:v>0</x:v>
      </x:c>
      <x:c r="G9" s="4" t="n">
        <x:v>848000</x:v>
      </x:c>
      <x:c r="H9" s="15" t="n">
        <x:v>9789.488</x:v>
      </x:c>
      <x:c r="I9" s="1" t="s">
        <x:v>120</x:v>
      </x:c>
      <x:c r="K9" s="3" t="n">
        <x:v>2024</x:v>
      </x:c>
      <x:c r="L9" s="4" t="n">
        <x:v>750000</x:v>
      </x:c>
      <x:c r="M9" s="4" t="n">
        <x:v>12000</x:v>
      </x:c>
      <x:c r="N9" s="4" t="n">
        <x:v>762000</x:v>
      </x:c>
      <x:c r="O9" s="15" t="n">
        <x:v>9688.5</x:v>
      </x:c>
      <x:c r="P9" s="1" t="s">
        <x:v>466</x:v>
      </x:c>
      <x:c r="Q9" s="1" t="s">
        <x:v>465</x:v>
      </x:c>
    </x:row>
    <x:row r="10" ht="15" hidden="0" customHeight="1">
      <x:c r="A10" s="3" t="n">
        <x:v>2025</x:v>
      </x:c>
      <x:c r="B10" s="4" t="n">
        <x:v>900000</x:v>
      </x:c>
      <x:c r="C10" s="4" t="n">
        <x:v>3000</x:v>
      </x:c>
      <x:c r="D10" s="4" t="n">
        <x:v>0</x:v>
      </x:c>
      <x:c r="E10" s="4" t="n">
        <x:v>6000</x:v>
      </x:c>
      <x:c r="F10" s="4" t="n">
        <x:v>0</x:v>
      </x:c>
      <x:c r="G10" s="4" t="n">
        <x:v>909000</x:v>
      </x:c>
      <x:c r="H10" s="15" t="n">
        <x:v>9803.5051</x:v>
      </x:c>
      <x:c r="I10" s="1" t="s">
        <x:v>120</x:v>
      </x:c>
      <x:c r="K10" s="3" t="n">
        <x:v>2025</x:v>
      </x:c>
      <x:c r="L10" s="4" t="n">
        <x:v>900000</x:v>
      </x:c>
      <x:c r="M10" s="4" t="n">
        <x:v>9000</x:v>
      </x:c>
      <x:c r="N10" s="4" t="n">
        <x:v>909000</x:v>
      </x:c>
      <x:c r="O10" s="15" t="n">
        <x:v>9803.5051</x:v>
      </x:c>
      <x:c r="P10" s="1" t="s">
        <x:v>120</x:v>
      </x:c>
      <x:c r="Q10" s="1" t="s">
        <x:v>465</x:v>
      </x:c>
    </x:row>
    <x:row r="11" ht="15" hidden="0" customHeight="1">
      <x:c r="A11" s="2"/>
      <x:c r="B11" s="2"/>
      <x:c r="C11" s="2"/>
      <x:c r="D11" s="2"/>
      <x:c r="E11" s="2"/>
      <x:c r="F11" s="2"/>
      <x:c r="G11" s="2"/>
    </x:row>
    <x:row r="12" ht="15" hidden="0" customHeight="1">
      <x:c r="B12" s="4"/>
      <x:c r="C12" s="4"/>
      <x:c r="D12" s="4"/>
      <x:c r="E12" s="11"/>
      <x:c r="F12" s="15"/>
      <x:c r="G12" s="15"/>
    </x:row>
    <x:row r="13" ht="15" hidden="0" customHeight="1">
      <x:c r="A13" s="2" t="s">
        <x:v>464</x:v>
      </x:c>
      <x:c r="B13" s="24" t="s">
        <x:v>80</x:v>
      </x:c>
      <x:c r="C13" s="24" t="s">
        <x:v>455</x:v>
      </x:c>
      <x:c r="D13" s="24" t="s">
        <x:v>463</x:v>
      </x:c>
      <x:c r="E13" s="26" t="s">
        <x:v>212</x:v>
      </x:c>
      <x:c r="F13" s="25" t="s">
        <x:v>467</x:v>
      </x:c>
      <x:c r="G13" s="25" t="s">
        <x:v>350</x:v>
      </x:c>
      <x:c r="H13" s="2" t="s">
        <x:v>468</x:v>
      </x:c>
    </x:row>
    <x:row r="14" ht="15" hidden="0" customHeight="1">
      <x:c r="A14" s="1" t="s">
        <x:v>469</x:v>
      </x:c>
      <x:c r="B14" s="1" t="s">
        <x:v>183</x:v>
      </x:c>
      <x:c r="C14" s="4" t="n">
        <x:v>1678000</x:v>
      </x:c>
      <x:c r="D14" s="4" t="n">
        <x:v>44000</x:v>
      </x:c>
      <x:c r="E14" s="11" t="n">
        <x:v>0.974448315911731</x:v>
      </x:c>
      <x:c r="F14" s="15" t="n">
        <x:v>9497.984</x:v>
      </x:c>
      <x:c r="G14" s="15"/>
    </x:row>
    <x:row r="15" ht="15" hidden="0" customHeight="1">
      <x:c r="A15" s="1" t="s">
        <x:v>469</x:v>
      </x:c>
      <x:c r="B15" s="1" t="s">
        <x:v>184</x:v>
      </x:c>
      <x:c r="C15" s="4" t="n">
        <x:v>2360000</x:v>
      </x:c>
      <x:c r="D15" s="4" t="n">
        <x:v>30000</x:v>
      </x:c>
      <x:c r="E15" s="11" t="n">
        <x:v>0.98744769874477</x:v>
      </x:c>
      <x:c r="F15" s="15" t="n">
        <x:v>9751.2544</x:v>
      </x:c>
      <x:c r="G15" s="15" t="n">
        <x:v>253.2704</x:v>
      </x:c>
      <x:c r="H15" s="1" t="s">
        <x:v>470</x:v>
      </x:c>
    </x:row>
    <x:row r="16" ht="15" hidden="0" customHeight="1">
      <x:c r="A16" s="2" t="s">
        <x:v>471</x:v>
      </x:c>
      <x:c r="B16" s="2" t="s">
        <x:v>183</x:v>
      </x:c>
      <x:c r="C16" s="4" t="n">
        <x:v>1560000</x:v>
      </x:c>
      <x:c r="D16" s="4" t="n">
        <x:v>45000</x:v>
      </x:c>
      <x:c r="E16" s="11" t="n">
        <x:v>0.97196261682243</x:v>
      </x:c>
      <x:c r="F16" s="15" t="n">
        <x:v>9449.4153</x:v>
      </x:c>
      <x:c r="G16" s="15"/>
    </x:row>
    <x:row r="17" ht="15" hidden="0" customHeight="1">
      <x:c r="A17" s="1" t="s">
        <x:v>471</x:v>
      </x:c>
      <x:c r="B17" s="1" t="s">
        <x:v>184</x:v>
      </x:c>
      <x:c r="C17" s="4" t="n">
        <x:v>2250000</x:v>
      </x:c>
      <x:c r="D17" s="4" t="n">
        <x:v>31000</x:v>
      </x:c>
      <x:c r="E17" s="11" t="n">
        <x:v>0.986409469530908</x:v>
      </x:c>
      <x:c r="F17" s="15" t="n">
        <x:v>9730.7956</x:v>
      </x:c>
      <x:c r="G17" s="15" t="n">
        <x:v>281.3803</x:v>
      </x:c>
      <x:c r="H17" s="1" t="s">
        <x:v>470</x:v>
      </x:c>
    </x:row>
    <x:row r="19" ht="15" hidden="0" customHeight="1">
      <x:c r="A19" s="2" t="s">
        <x:v>472</x:v>
      </x:c>
      <x:c r="B19" s="2" t="s">
        <x:v>72</x:v>
      </x:c>
    </x:row>
    <x:row r="20" ht="15" hidden="0" customHeight="1">
      <x:c r="A20" s="1" t="s">
        <x:v>473</x:v>
      </x:c>
      <x:c r="B20" s="1" t="s">
        <x:v>474</x:v>
      </x:c>
    </x:row>
    <x:row r="21" ht="15" hidden="0" customHeight="1">
      <x:c r="A21" s="1" t="s">
        <x:v>475</x:v>
      </x:c>
      <x:c r="B21" s="1" t="s">
        <x:v>476</x:v>
      </x:c>
    </x:row>
    <x:row r="22" ht="15" hidden="0" customHeight="1">
      <x:c r="A22" s="1" t="s">
        <x:v>477</x:v>
      </x:c>
      <x:c r="B22" s="1" t="s">
        <x:v>478</x:v>
      </x:c>
    </x:row>
    <x:row r="23" ht="15" hidden="0" customHeight="1">
      <x:c r="A23" s="1" t="s">
        <x:v>479</x:v>
      </x:c>
      <x:c r="B23" s="1" t="s">
        <x:v>480</x:v>
      </x:c>
    </x:row>
    <x:row r="24" ht="15" hidden="0" customHeight="1">
      <x:c r="A24" s="1" t="s">
        <x:v>429</x:v>
      </x:c>
      <x:c r="B24" s="1" t="s">
        <x:v>481</x:v>
      </x:c>
    </x:row>
  </x:sheetData>
  <x:mergeCells>
    <x:mergeCell ref="A1:Q1"/>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defaultColWidth="8.6796875" defaultRowHeight="15"/>
  <x:cols>
    <x:col min="1" max="1" width="24" style="1" hidden="0" customWidth="1"/>
    <x:col min="2" max="2" width="95" style="1" hidden="0" customWidth="1"/>
    <x:col min="3" max="3" width="24" style="1" hidden="0" customWidth="1"/>
    <x:col min="4" max="4" width="90" style="1" hidden="0" customWidth="1"/>
  </x:cols>
  <x:sheetData>
    <x:row r="1" ht="15" hidden="0" customHeight="1">
      <x:c r="A1" s="9" t="s">
        <x:v>482</x:v>
      </x:c>
      <x:c r="B1" s="9" t="s">
        <x:v>444</x:v>
      </x:c>
      <x:c r="C1" s="9" t="s">
        <x:v>483</x:v>
      </x:c>
      <x:c r="D1" s="9" t="s">
        <x:v>484</x:v>
      </x:c>
    </x:row>
    <x:row r="2" ht="15" hidden="0" customHeight="1">
      <x:c r="A2" s="1" t="s">
        <x:v>485</x:v>
      </x:c>
      <x:c r="B2" s="1" t="s">
        <x:v>486</x:v>
      </x:c>
      <x:c r="C2" s="1" t="s">
        <x:v>487</x:v>
      </x:c>
      <x:c r="D2" s="1" t="s">
        <x:v>488</x:v>
      </x:c>
    </x:row>
    <x:row r="4" ht="15" hidden="0" customHeight="1">
      <x:c r="A4" s="8" t="s">
        <x:v>334</x:v>
      </x:c>
      <x:c r="B4" s="8" t="s">
        <x:v>489</x:v>
      </x:c>
    </x:row>
    <x:row r="5" ht="15" hidden="0" customHeight="1">
      <x:c r="A5" s="1" t="s">
        <x:v>490</x:v>
      </x:c>
      <x:c r="B5" s="1" t="s">
        <x:v>491</x:v>
      </x:c>
    </x:row>
    <x:row r="6" ht="15" hidden="0" customHeight="1">
      <x:c r="A6" s="1" t="s">
        <x:v>492</x:v>
      </x:c>
      <x:c r="B6" s="1" t="s">
        <x:v>493</x:v>
      </x:c>
    </x:row>
    <x:row r="7" ht="15" hidden="0" customHeight="1">
      <x:c r="A7" s="1" t="s">
        <x:v>494</x:v>
      </x:c>
      <x:c r="B7" s="1" t="s">
        <x:v>495</x:v>
      </x:c>
    </x:row>
    <x:row r="8" ht="15" hidden="0" customHeight="1">
      <x:c r="A8" s="1" t="s">
        <x:v>496</x:v>
      </x:c>
      <x:c r="B8" s="1" t="s">
        <x:v>497</x:v>
      </x:c>
    </x:row>
    <x:row r="9" ht="15" hidden="0" customHeight="1">
      <x:c r="A9" s="1" t="s">
        <x:v>498</x:v>
      </x:c>
      <x:c r="B9" s="1" t="s">
        <x:v>499</x:v>
      </x:c>
    </x:row>
  </x:sheetData>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defaultColWidth="8.6796875" defaultRowHeight="15"/>
  <x:cols>
    <x:col min="1" max="1" width="27" style="1" hidden="0" customWidth="1"/>
    <x:col min="2" max="4" width="18" style="1" hidden="0" customWidth="1"/>
    <x:col min="5" max="7" width="50" style="1" hidden="0" customWidth="1"/>
  </x:cols>
  <x:sheetData>
    <x:row r="1" ht="16.5" hidden="0" customHeight="1">
      <x:c r="A1" s="22" t="s">
        <x:v>500</x:v>
      </x:c>
      <x:c r="B1" s="22"/>
      <x:c r="C1" s="22"/>
      <x:c r="D1" s="22"/>
      <x:c r="E1" s="22"/>
      <x:c r="F1" s="22"/>
    </x:row>
    <x:row r="2" ht="15" hidden="0" customHeight="1">
      <x:c r="B2" s="15"/>
      <x:c r="C2" s="15"/>
    </x:row>
    <x:row r="3" ht="15" hidden="0" customHeight="1">
      <x:c r="A3" s="2" t="s">
        <x:v>80</x:v>
      </x:c>
      <x:c r="B3" s="25" t="s">
        <x:v>501</x:v>
      </x:c>
      <x:c r="C3" s="25" t="s">
        <x:v>502</x:v>
      </x:c>
      <x:c r="D3" s="2" t="s">
        <x:v>503</x:v>
      </x:c>
      <x:c r="E3" s="2" t="s">
        <x:v>504</x:v>
      </x:c>
      <x:c r="F3" s="2" t="s">
        <x:v>505</x:v>
      </x:c>
      <x:c r="G3" s="2" t="s">
        <x:v>185</x:v>
      </x:c>
    </x:row>
    <x:row r="4" ht="15" hidden="0" customHeight="1">
      <x:c r="A4" s="1" t="s">
        <x:v>341</x:v>
      </x:c>
      <x:c r="B4" s="15" t="n">
        <x:v>1557.50067437227</x:v>
      </x:c>
      <x:c r="C4" s="15" t="n">
        <x:v>8886.31914595001</x:v>
      </x:c>
      <x:c r="D4" s="11" t="n">
        <x:v>0.0591871629619887</x:v>
      </x:c>
      <x:c r="E4" s="1" t="s">
        <x:v>506</x:v>
      </x:c>
      <x:c r="F4" s="1" t="s">
        <x:v>507</x:v>
      </x:c>
      <x:c r="G4" s="1" t="s">
        <x:v>508</x:v>
      </x:c>
    </x:row>
    <x:row r="5" ht="15" hidden="0" customHeight="1">
      <x:c r="A5" s="2" t="s">
        <x:v>342</x:v>
      </x:c>
      <x:c r="B5" s="25" t="n">
        <x:v>2416.92878488457</x:v>
      </x:c>
      <x:c r="C5" s="15" t="n">
        <x:v>9819.30881926958</x:v>
      </x:c>
      <x:c r="D5" s="11" t="n">
        <x:v>0.00911769133174204</x:v>
      </x:c>
      <x:c r="E5" s="1" t="s">
        <x:v>506</x:v>
      </x:c>
      <x:c r="F5" s="1" t="s">
        <x:v>507</x:v>
      </x:c>
      <x:c r="G5" s="1" t="s">
        <x:v>509</x:v>
      </x:c>
    </x:row>
    <x:row r="7" ht="15" hidden="0" customHeight="1">
      <x:c r="A7" s="2" t="s">
        <x:v>510</x:v>
      </x:c>
      <x:c r="B7" s="2" t="s">
        <x:v>72</x:v>
      </x:c>
    </x:row>
    <x:row r="8" ht="15" hidden="0" customHeight="1">
      <x:c r="A8" s="1" t="s">
        <x:v>511</x:v>
      </x:c>
      <x:c r="B8" s="1" t="s">
        <x:v>512</x:v>
      </x:c>
    </x:row>
    <x:row r="9" ht="15" hidden="0" customHeight="1">
      <x:c r="A9" s="1" t="s">
        <x:v>513</x:v>
      </x:c>
      <x:c r="B9" s="1" t="s">
        <x:v>514</x:v>
      </x:c>
    </x:row>
    <x:row r="10" ht="15" hidden="0" customHeight="1">
      <x:c r="A10" s="1" t="s">
        <x:v>515</x:v>
      </x:c>
      <x:c r="B10" s="1" t="s">
        <x:v>516</x:v>
      </x:c>
    </x:row>
    <x:row r="11" ht="15" hidden="0" customHeight="1">
      <x:c r="A11" s="1" t="s">
        <x:v>517</x:v>
      </x:c>
      <x:c r="B11" s="1" t="s">
        <x:v>518</x:v>
      </x:c>
    </x:row>
    <x:row r="12" ht="15" hidden="0" customHeight="1">
      <x:c r="A12" s="1" t="s">
        <x:v>519</x:v>
      </x:c>
      <x:c r="B12" s="1" t="s">
        <x:v>520</x:v>
      </x:c>
    </x:row>
    <x:row r="13" ht="15" hidden="0" customHeight="1">
      <x:c r="A13" s="1" t="s">
        <x:v>521</x:v>
      </x:c>
      <x:c r="B13" s="1" t="s">
        <x:v>522</x:v>
      </x:c>
    </x:row>
  </x:sheetData>
  <x:mergeCells>
    <x:mergeCell ref="A1:F1"/>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ColWidth="8.6796875" defaultRowHeight="15"/>
  <x:cols>
    <x:col min="1" max="1" width="20" style="1" hidden="0" customWidth="1"/>
    <x:col min="2" max="4" width="18" style="1" hidden="0" customWidth="1"/>
    <x:col min="5" max="6" width="55" style="1" hidden="0" customWidth="1"/>
  </x:cols>
  <x:sheetData>
    <x:row r="1" ht="15" hidden="0" customHeight="1">
      <x:c r="A1" s="9" t="s">
        <x:v>80</x:v>
      </x:c>
      <x:c r="B1" s="9" t="s">
        <x:v>523</x:v>
      </x:c>
      <x:c r="C1" s="2" t="s">
        <x:v>524</x:v>
      </x:c>
      <x:c r="D1" s="2" t="s">
        <x:v>525</x:v>
      </x:c>
      <x:c r="E1" s="2" t="s">
        <x:v>526</x:v>
      </x:c>
      <x:c r="F1" s="2" t="s">
        <x:v>527</x:v>
      </x:c>
    </x:row>
    <x:row r="2" ht="15" hidden="0" customHeight="1">
      <x:c r="A2" s="1" t="s">
        <x:v>183</x:v>
      </x:c>
      <x:c r="B2" s="11" t="n">
        <x:v>0.0591871629619887</x:v>
      </x:c>
      <x:c r="C2" s="27" t="n">
        <x:v>1800</x:v>
      </x:c>
      <x:c r="D2" s="27" t="n">
        <x:v>450</x:v>
      </x:c>
      <x:c r="E2" s="1" t="s">
        <x:v>528</x:v>
      </x:c>
      <x:c r="F2" s="1" t="s">
        <x:v>529</x:v>
      </x:c>
    </x:row>
    <x:row r="3" ht="15" hidden="0" customHeight="1">
      <x:c r="A3" s="1" t="s">
        <x:v>184</x:v>
      </x:c>
      <x:c r="B3" s="11" t="n">
        <x:v>0.00911769133174204</x:v>
      </x:c>
      <x:c r="C3" s="27" t="n">
        <x:v>424</x:v>
      </x:c>
      <x:c r="D3" s="27" t="n">
        <x:v>141.333333333333</x:v>
      </x:c>
      <x:c r="E3" s="1" t="s">
        <x:v>530</x:v>
      </x:c>
      <x:c r="F3" s="1" t="s">
        <x:v>529</x:v>
      </x:c>
    </x:row>
    <x:row r="5" ht="15" hidden="0" customHeight="1">
      <x:c r="A5" s="2" t="s">
        <x:v>531</x:v>
      </x:c>
      <x:c r="B5" s="2" t="s">
        <x:v>72</x:v>
      </x:c>
    </x:row>
    <x:row r="6" ht="15" hidden="0" customHeight="1">
      <x:c r="A6" s="1" t="s">
        <x:v>532</x:v>
      </x:c>
      <x:c r="B6" s="1" t="s">
        <x:v>533</x:v>
      </x:c>
    </x:row>
    <x:row r="7" ht="15" hidden="0" customHeight="1">
      <x:c r="A7" s="1" t="s">
        <x:v>534</x:v>
      </x:c>
      <x:c r="B7" s="1" t="s">
        <x:v>535</x:v>
      </x:c>
    </x:row>
    <x:row r="8" ht="15" hidden="0" customHeight="1">
      <x:c r="A8" s="1" t="s">
        <x:v>536</x:v>
      </x:c>
      <x:c r="B8" s="1" t="s">
        <x:v>537</x:v>
      </x:c>
    </x:row>
    <x:row r="9" ht="15" hidden="0" customHeight="1">
      <x:c r="A9" s="1" t="s">
        <x:v>538</x:v>
      </x:c>
      <x:c r="B9" s="1" t="s">
        <x:v>539</x:v>
      </x:c>
    </x:row>
  </x:sheetData>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ColWidth="8.6796875" defaultRowHeight="15"/>
  <x:cols>
    <x:col min="1" max="1" width="25" style="1" hidden="0" customWidth="1"/>
    <x:col min="2" max="2" width="100" style="1" hidden="0" customWidth="1"/>
    <x:col min="3" max="5" width="16" style="1" hidden="0" customWidth="1"/>
    <x:col min="6" max="6" width="17" style="1" hidden="0" customWidth="1"/>
    <x:col min="7" max="9" width="16" style="1" hidden="0" customWidth="1"/>
    <x:col min="10" max="10" width="17" style="1" hidden="0" customWidth="1"/>
    <x:col min="11" max="12" width="16" style="1" hidden="0" customWidth="1"/>
    <x:col min="13" max="13" width="31" style="1" hidden="0" customWidth="1"/>
    <x:col min="14" max="14" width="55" style="1" hidden="0" customWidth="1"/>
    <x:col min="15" max="15" width="18" style="1" hidden="0" customWidth="1"/>
    <x:col min="16" max="16" width="22" style="1" hidden="0" customWidth="1"/>
  </x:cols>
  <x:sheetData>
    <x:row r="1" ht="41.25" hidden="0" customHeight="1">
      <x:c r="A1" s="9" t="s">
        <x:v>540</x:v>
      </x:c>
      <x:c r="B1" s="9" t="s">
        <x:v>541</x:v>
      </x:c>
      <x:c r="C1" s="9" t="s">
        <x:v>542</x:v>
      </x:c>
      <x:c r="D1" s="9" t="s">
        <x:v>543</x:v>
      </x:c>
      <x:c r="E1" s="9" t="s">
        <x:v>544</x:v>
      </x:c>
      <x:c r="F1" s="9" t="s">
        <x:v>545</x:v>
      </x:c>
      <x:c r="G1" s="9" t="s">
        <x:v>546</x:v>
      </x:c>
      <x:c r="H1" s="9" t="s">
        <x:v>547</x:v>
      </x:c>
      <x:c r="I1" s="9" t="s">
        <x:v>548</x:v>
      </x:c>
      <x:c r="J1" s="9" t="s">
        <x:v>549</x:v>
      </x:c>
      <x:c r="K1" s="9" t="s">
        <x:v>550</x:v>
      </x:c>
      <x:c r="L1" s="9" t="s">
        <x:v>551</x:v>
      </x:c>
      <x:c r="M1" s="9" t="s">
        <x:v>132</x:v>
      </x:c>
      <x:c r="N1" s="9" t="s">
        <x:v>185</x:v>
      </x:c>
      <x:c r="O1" s="9" t="s">
        <x:v>552</x:v>
      </x:c>
      <x:c r="P1" s="9" t="s">
        <x:v>553</x:v>
      </x:c>
    </x:row>
    <x:row r="2" ht="15" hidden="0" customHeight="1">
      <x:c r="A2" s="1" t="s">
        <x:v>18</x:v>
      </x:c>
      <x:c r="B2" s="28" t="s">
        <x:v>554</x:v>
      </x:c>
      <x:c r="C2" s="27" t="n">
        <x:v>5485</x:v>
      </x:c>
      <x:c r="D2" s="27" t="n">
        <x:v>1371.25</x:v>
      </x:c>
      <x:c r="E2" s="27" t="n">
        <x:v>2138416</x:v>
      </x:c>
      <x:c r="F2" s="29" t="n">
        <x:v>389.866180492252</x:v>
      </x:c>
      <x:c r="G2" s="27" t="n">
        <x:v>4032</x:v>
      </x:c>
      <x:c r="H2" s="27" t="n">
        <x:v>1344</x:v>
      </x:c>
      <x:c r="I2" s="27" t="n">
        <x:v>1801325</x:v>
      </x:c>
      <x:c r="J2" s="29" t="n">
        <x:v>446.757192460318</x:v>
      </x:c>
      <x:c r="K2" s="14" t="n">
        <x:v>-0.0198723792160438</x:v>
      </x:c>
      <x:c r="L2" s="14" t="n">
        <x:v>0.145924460275663</x:v>
      </x:c>
      <x:c r="M2" s="1" t="s">
        <x:v>555</x:v>
      </x:c>
      <x:c r="N2" s="1" t="s">
        <x:v>556</x:v>
      </x:c>
      <x:c r="O2" s="14" t="n">
        <x:f aca="0">(1+L2)/(1+$L$9)-1</x:f>
        <x:v>-0.3338438811342479</x:v>
      </x:c>
      <x:c r="P2" s="1" t="str">
        <x:f aca="0">IF(A2="All U.S. imports (market reference)","Benchmark",IF(O2&gt;0.1,"Above market",IF(O2&lt;-0.1,"Below market","In line with market")))</x:f>
        <x:v>Below market</x:v>
      </x:c>
    </x:row>
    <x:row r="3" ht="15" hidden="0" customHeight="1">
      <x:c r="A3" s="1" t="s">
        <x:v>9</x:v>
      </x:c>
      <x:c r="B3" s="28" t="s">
        <x:v>557</x:v>
      </x:c>
      <x:c r="C3" s="27" t="n">
        <x:v>5727</x:v>
      </x:c>
      <x:c r="D3" s="27" t="n">
        <x:v>1431.75</x:v>
      </x:c>
      <x:c r="E3" s="27" t="n">
        <x:v>1087471</x:v>
      </x:c>
      <x:c r="F3" s="29" t="n">
        <x:v>189.884931028462</x:v>
      </x:c>
      <x:c r="G3" s="27" t="n">
        <x:v>9852</x:v>
      </x:c>
      <x:c r="H3" s="27" t="n">
        <x:v>3284</x:v>
      </x:c>
      <x:c r="I3" s="27" t="n">
        <x:v>4675722</x:v>
      </x:c>
      <x:c r="J3" s="29" t="n">
        <x:v>474.596224116931</x:v>
      </x:c>
      <x:c r="K3" s="14" t="n">
        <x:v>1.29369652523136</x:v>
      </x:c>
      <x:c r="L3" s="14" t="n">
        <x:v>1.49938855888356</x:v>
      </x:c>
      <x:c r="M3" s="1" t="s">
        <x:v>558</x:v>
      </x:c>
      <x:c r="N3" s="1" t="s">
        <x:v>559</x:v>
      </x:c>
      <x:c r="O3" s="14" t="n">
        <x:f aca="0">(1+L3)/(1+$L$9)-1</x:f>
        <x:v>0.45296050450202463</x:v>
      </x:c>
      <x:c r="P3" s="1" t="str">
        <x:f aca="0">IF(A3="All U.S. imports (market reference)","Benchmark",IF(O3&gt;0.1,"Above market",IF(O3&lt;-0.1,"Below market","In line with market")))</x:f>
        <x:v>Above market</x:v>
      </x:c>
    </x:row>
    <x:row r="4" ht="15" hidden="0" customHeight="1">
      <x:c r="A4" s="1" t="s">
        <x:v>40</x:v>
      </x:c>
      <x:c r="B4" s="28" t="s">
        <x:v>255</x:v>
      </x:c>
      <x:c r="C4" s="27" t="n">
        <x:v>2594</x:v>
      </x:c>
      <x:c r="D4" s="27" t="n">
        <x:v>648.5</x:v>
      </x:c>
      <x:c r="E4" s="27" t="n">
        <x:v>739124</x:v>
      </x:c>
      <x:c r="F4" s="29" t="n">
        <x:v>284.93600616808</x:v>
      </x:c>
      <x:c r="G4" s="27" t="n">
        <x:v>18604</x:v>
      </x:c>
      <x:c r="H4" s="27" t="n">
        <x:v>6201.33333333333</x:v>
      </x:c>
      <x:c r="I4" s="27" t="n">
        <x:v>9608723</x:v>
      </x:c>
      <x:c r="J4" s="29" t="n">
        <x:v>516.48693829284</x:v>
      </x:c>
      <x:c r="K4" s="14" t="n">
        <x:v>8.56258031354408</x:v>
      </x:c>
      <x:c r="L4" s="14" t="n">
        <x:v>0.812641881377993</x:v>
      </x:c>
      <x:c r="M4" s="1" t="s">
        <x:v>558</x:v>
      </x:c>
      <x:c r="N4" s="1" t="s">
        <x:v>560</x:v>
      </x:c>
      <x:c r="O4" s="14" t="n">
        <x:f aca="0">(1+L4)/(1+$L$9)-1</x:f>
        <x:v>0.053736544118974994</x:v>
      </x:c>
      <x:c r="P4" s="1" t="str">
        <x:f aca="0">IF(A4="All U.S. imports (market reference)","Benchmark",IF(O4&gt;0.1,"Above market",IF(O4&lt;-0.1,"Below market","In line with market")))</x:f>
        <x:v>In line with market</x:v>
      </x:c>
    </x:row>
    <x:row r="5" ht="15" hidden="0" customHeight="1">
      <x:c r="A5" s="1" t="s">
        <x:v>46</x:v>
      </x:c>
      <x:c r="B5" s="28" t="s">
        <x:v>561</x:v>
      </x:c>
      <x:c r="C5" s="27" t="n">
        <x:v>7802</x:v>
      </x:c>
      <x:c r="D5" s="27" t="n">
        <x:v>1950.5</x:v>
      </x:c>
      <x:c r="E5" s="27" t="n">
        <x:v>3182567</x:v>
      </x:c>
      <x:c r="F5" s="29" t="n">
        <x:v>407.916816200974</x:v>
      </x:c>
      <x:c r="G5" s="27" t="n">
        <x:v>6986</x:v>
      </x:c>
      <x:c r="H5" s="27" t="n">
        <x:v>2328.66666666667</x:v>
      </x:c>
      <x:c r="I5" s="27" t="n">
        <x:v>4930438</x:v>
      </x:c>
      <x:c r="J5" s="29" t="n">
        <x:v>705.759805324936</x:v>
      </x:c>
      <x:c r="K5" s="14" t="n">
        <x:v>0.193881910621208</x:v>
      </x:c>
      <x:c r="L5" s="14" t="n">
        <x:v>0.730156191886973</x:v>
      </x:c>
      <x:c r="M5" s="1" t="s">
        <x:v>558</x:v>
      </x:c>
      <x:c r="N5" s="1" t="s">
        <x:v>562</x:v>
      </x:c>
      <x:c r="O5" s="14" t="n">
        <x:f aca="0">(1+L5)/(1+$L$9)-1</x:f>
        <x:v>0.005785436800709753</x:v>
      </x:c>
      <x:c r="P5" s="1" t="str">
        <x:f aca="0">IF(A5="All U.S. imports (market reference)","Benchmark",IF(O5&gt;0.1,"Above market",IF(O5&lt;-0.1,"Below market","In line with market")))</x:f>
        <x:v>In line with market</x:v>
      </x:c>
    </x:row>
    <x:row r="6" ht="15" hidden="0" customHeight="1">
      <x:c r="A6" s="1" t="s">
        <x:v>32</x:v>
      </x:c>
      <x:c r="B6" s="28" t="s">
        <x:v>563</x:v>
      </x:c>
      <x:c r="C6" s="27" t="n">
        <x:v>2700</x:v>
      </x:c>
      <x:c r="D6" s="27" t="n">
        <x:v>675</x:v>
      </x:c>
      <x:c r="E6" s="27" t="n">
        <x:v>599598</x:v>
      </x:c>
      <x:c r="F6" s="29" t="n">
        <x:v>222.073333333333</x:v>
      </x:c>
      <x:c r="G6" s="27" t="n">
        <x:v>2836</x:v>
      </x:c>
      <x:c r="H6" s="27" t="n">
        <x:v>945.333333333333</x:v>
      </x:c>
      <x:c r="I6" s="27" t="n">
        <x:v>2234639</x:v>
      </x:c>
      <x:c r="J6" s="29" t="n">
        <x:v>787.954513399154</x:v>
      </x:c>
      <x:c r="K6" s="14" t="n">
        <x:v>0.400493827160494</x:v>
      </x:c>
      <x:c r="L6" s="14" t="n">
        <x:v>2.54817258592876</x:v>
      </x:c>
      <x:c r="M6" s="1" t="s">
        <x:v>564</x:v>
      </x:c>
      <x:c r="N6" s="1" t="s">
        <x:v>565</x:v>
      </x:c>
      <x:c r="O6" s="14" t="n">
        <x:f aca="0">(1+L6)/(1+$L$9)-1</x:f>
        <x:v>1.062646326913701</x:v>
      </x:c>
      <x:c r="P6" s="1" t="str">
        <x:f aca="0">IF(A6="All U.S. imports (market reference)","Benchmark",IF(O6&gt;0.1,"Above market",IF(O6&lt;-0.1,"Below market","In line with market")))</x:f>
        <x:v>Above market</x:v>
      </x:c>
    </x:row>
    <x:row r="7" ht="15" hidden="0" customHeight="1">
      <x:c r="A7" s="1" t="s">
        <x:v>26</x:v>
      </x:c>
      <x:c r="B7" s="28" t="s">
        <x:v>566</x:v>
      </x:c>
      <x:c r="C7" s="27" t="n">
        <x:v>1800</x:v>
      </x:c>
      <x:c r="D7" s="27" t="n">
        <x:v>450</x:v>
      </x:c>
      <x:c r="E7" s="27" t="n">
        <x:v>419685</x:v>
      </x:c>
      <x:c r="F7" s="29" t="n">
        <x:v>233.158333333333</x:v>
      </x:c>
      <x:c r="G7" s="27" t="n">
        <x:v>424</x:v>
      </x:c>
      <x:c r="H7" s="27" t="n">
        <x:v>141.333333333333</x:v>
      </x:c>
      <x:c r="I7" s="27" t="n">
        <x:v>129249</x:v>
      </x:c>
      <x:c r="J7" s="29" t="n">
        <x:v>304.832547169811</x:v>
      </x:c>
      <x:c r="K7" s="14" t="n">
        <x:v>-0.685925925925926</x:v>
      </x:c>
      <x:c r="L7" s="14" t="n">
        <x:v>0.30740575647369</x:v>
      </x:c>
      <x:c r="M7" s="1" t="str">
        <x:v>Quantity prediction contradicted, but materially confounded by a Russia-specific U.S. tariff shock</x:v>
      </x:c>
      <x:c r="N7" s="1" t="str">
        <x:v>Russia's route contracts sharply, but this is not a clean test of the TSDA independence prediction. Public Law 117-110 made HTS column 2 rates applicable to Russian goods effective April 9, 2022. For HTS 8112.92.1000 (gallium), the 2022 HTS shows a 3% column 1-general rate and a 25% column 2 rate — a 22 percentage-point increase. The tariff shock therefore provides a strong non-gallium explanation for post-2022 contraction.</x:v>
      </x:c>
      <x:c r="O7" s="14" t="n">
        <x:f aca="0">(1+L7)/(1+$L$9)-1</x:f>
        <x:v>-0.2399705436903372</x:v>
      </x:c>
      <x:c r="P7" s="1" t="str">
        <x:f aca="0">IF(A7="All U.S. imports (market reference)","Benchmark",IF(O7&gt;0.1,"Above market",IF(O7&lt;-0.1,"Below market","In line with market")))</x:f>
        <x:v>Below market</x:v>
      </x:c>
    </x:row>
    <x:row r="8" ht="15" hidden="0" customHeight="1">
      <x:c r="A8" s="1" t="s">
        <x:v>30</x:v>
      </x:c>
      <x:c r="B8" s="1" t="s">
        <x:v>567</x:v>
      </x:c>
      <x:c r="C8" s="27" t="n">
        <x:v>992</x:v>
      </x:c>
      <x:c r="D8" s="27" t="n">
        <x:v>248</x:v>
      </x:c>
      <x:c r="E8" s="27" t="n">
        <x:v>443566</x:v>
      </x:c>
      <x:c r="F8" s="29" t="n">
        <x:v>447.14314516129</x:v>
      </x:c>
      <x:c r="G8" s="27" t="n">
        <x:v>2370</x:v>
      </x:c>
      <x:c r="H8" s="27" t="n">
        <x:v>790</x:v>
      </x:c>
      <x:c r="I8" s="27" t="n">
        <x:v>1225458</x:v>
      </x:c>
      <x:c r="J8" s="29" t="n">
        <x:v>517.070886075949</x:v>
      </x:c>
      <x:c r="K8" s="14" t="n">
        <x:v>2.18548387096774</x:v>
      </x:c>
      <x:c r="L8" s="14" t="n">
        <x:v>0.156387818244279</x:v>
      </x:c>
      <x:c r="M8" s="1" t="s">
        <x:v>568</x:v>
      </x:c>
      <x:c r="N8" s="1" t="s">
        <x:v>569</x:v>
      </x:c>
      <x:c r="O8" s="14" t="n">
        <x:f aca="0">(1+L8)/(1+$L$9)-1</x:f>
        <x:v>-0.32776125511804477</x:v>
      </x:c>
      <x:c r="P8" s="1" t="str">
        <x:f aca="0">IF(A8="All U.S. imports (market reference)","Benchmark",IF(O8&gt;0.1,"Above market",IF(O8&lt;-0.1,"Below market","In line with market")))</x:f>
        <x:v>Below market</x:v>
      </x:c>
    </x:row>
    <x:row r="9" ht="15" hidden="0" customHeight="1">
      <x:c r="A9" s="1" t="s">
        <x:v>570</x:v>
      </x:c>
      <x:c r="B9" s="1" t="s">
        <x:v>571</x:v>
      </x:c>
      <x:c r="C9" s="30" t="n">
        <x:v>30412</x:v>
      </x:c>
      <x:c r="D9" s="27" t="n">
        <x:f aca="0">C9/4</x:f>
        <x:v>7603</x:v>
      </x:c>
      <x:c r="E9" s="30" t="n">
        <x:v>9715169</x:v>
      </x:c>
      <x:c r="F9" s="29" t="n">
        <x:f aca="0">E9/C9</x:f>
        <x:v>319.45182822570035</x:v>
      </x:c>
      <x:c r="G9" s="30" t="n">
        <x:v>46503</x:v>
      </x:c>
      <x:c r="H9" s="27" t="n">
        <x:f aca="0">G9/3</x:f>
        <x:v>15501</x:v>
      </x:c>
      <x:c r="I9" s="30" t="n">
        <x:v>25554437</x:v>
      </x:c>
      <x:c r="J9" s="29" t="n">
        <x:f aca="0">I9/G9</x:f>
        <x:v>549.5223318925661</x:v>
      </x:c>
      <x:c r="K9" s="14" t="n">
        <x:f aca="0">H9/D9-1</x:f>
        <x:v>1.0388004734973038</x:v>
      </x:c>
      <x:c r="L9" s="14" t="n">
        <x:f aca="0">J9/F9-1</x:f>
        <x:v>0.720204060013441</x:v>
      </x:c>
      <x:c r="M9" s="1" t="s">
        <x:v>572</x:v>
      </x:c>
      <x:c r="N9" s="1" t="s">
        <x:v>573</x:v>
      </x:c>
      <x:c r="O9" s="14" t="n">
        <x:f aca="0">(1+L9)/(1+$L$9)-1</x:f>
        <x:v>0</x:v>
      </x:c>
      <x:c r="P9" s="1" t="str">
        <x:f aca="0">IF(A9="All U.S. imports (market reference)","Benchmark",IF(O9&gt;0.1,"Above market",IF(O9&lt;-0.1,"Below market","In line with market")))</x:f>
        <x:v>Benchmark</x:v>
      </x:c>
    </x:row>
    <x:row r="10" ht="15" hidden="0" customHeight="1">
      <x:c r="A10" s="2"/>
      <x:c r="B10" s="2"/>
    </x:row>
    <x:row r="11" ht="15" hidden="0" customHeight="1">
      <x:c r="A11" s="2" t="s">
        <x:v>574</x:v>
      </x:c>
      <x:c r="B11" s="2" t="s">
        <x:v>72</x:v>
      </x:c>
    </x:row>
    <x:row r="12" ht="15" hidden="0" customHeight="1">
      <x:c r="A12" s="1" t="str">
        <x:v>Formal test result</x:v>
      </x:c>
      <x:c r="B12" s="1" t="str">
        <x:v>Russia is the only route that met the pre-shock condition for a formal independent-source test. Its quantity prediction is contradicted in the raw trade outcome, but the result is materially confounded by a Russia-specific tariff shock: effective April 9, 2022, Russian gallium under HTS 8112.92.1000 moved from the 3% NTR rate to the 25% column 2 rate. The Russia result should therefore be reported as a confounded contradiction, not as a clean falsification of the TSDA independence prediction.</x:v>
      </x:c>
    </x:row>
    <x:row r="13" ht="15" hidden="0" customHeight="1">
      <x:c r="A13" s="1" t="s">
        <x:v>575</x:v>
      </x:c>
      <x:c r="B13" s="1" t="s">
        <x:v>576</x:v>
      </x:c>
    </x:row>
    <x:row r="14" ht="15" hidden="0" customHeight="1">
      <x:c r="A14" s="1" t="s">
        <x:v>577</x:v>
      </x:c>
      <x:c r="B14" s="1" t="s">
        <x:v>578</x:v>
      </x:c>
    </x:row>
    <x:row r="15" ht="15" hidden="0" customHeight="1">
      <x:c r="A15" s="1" t="s">
        <x:v>579</x:v>
      </x:c>
      <x:c r="B15" s="1" t="s">
        <x:v>580</x:v>
      </x:c>
    </x:row>
    <x:row r="16" ht="15" hidden="0" customHeight="1">
      <x:c r="A16" s="1" t="s">
        <x:v>581</x:v>
      </x:c>
      <x:c r="B16" s="1" t="s">
        <x:v>582</x:v>
      </x:c>
    </x:row>
    <x:row r="17" ht="15" hidden="0" customHeight="1">
      <x:c r="A17" s="1" t="str">
        <x:v>Russia — confirmed trade-policy confounder</x:v>
      </x:c>
      <x:c r="B17" s="1" t="str">
        <x:v>Confirmed. Public Law 117-110, approved April 8, 2022, required HTS column 2 rates to apply to Russian products beginning the next day, April 9, 2022. The 2022 HTS entry for 8112.92.10.00 (gallium; statistical code 8112.92.1000) lists a 3% column 1-general rate and a 25% column 2 rate. Russia therefore faced an immediate increase of 22 percentage points (from 3% to 25%) on U.S. gallium imports. This is a material policy confounder for the observed post-2022 decline in the Russia route.</x:v>
      </x:c>
    </x:row>
    <x:row r="18" ht="15" hidden="0" customHeight="1">
      <x:c r="A18" s="1" t="s">
        <x:v>583</x:v>
      </x:c>
      <x:c r="B18" s="1" t="s">
        <x:v>584</x:v>
      </x:c>
    </x:row>
    <x:row r="19" ht="15" hidden="0" customHeight="1">
      <x:c r="A19" s="1" t="s">
        <x:v>585</x:v>
      </x:c>
      <x:c r="B19" s="1" t="s">
        <x:v>586</x:v>
      </x:c>
    </x:row>
  </x:sheetData>
  <x:pageMargins left="0.7" right="0.7" top="0.75" bottom="0.75" header="0.3" footer="0.3"/>
</x:worksheet>
</file>